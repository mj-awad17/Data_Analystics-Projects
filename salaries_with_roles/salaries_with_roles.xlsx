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_Analystics-Projects\salaries_with_roles\"/>
    </mc:Choice>
  </mc:AlternateContent>
  <xr:revisionPtr revIDLastSave="0" documentId="13_ncr:1_{603508DC-BE76-48EF-9D81-97A2002FC0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untions-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G2" i="2"/>
  <c r="F2" i="2"/>
  <c r="E101" i="2"/>
  <c r="C101" i="2"/>
  <c r="B101" i="2"/>
  <c r="A101" i="2"/>
  <c r="E100" i="2"/>
  <c r="C100" i="2"/>
  <c r="B100" i="2"/>
  <c r="A100" i="2"/>
  <c r="E99" i="2"/>
  <c r="C99" i="2"/>
  <c r="B99" i="2"/>
  <c r="A99" i="2"/>
  <c r="E98" i="2"/>
  <c r="C98" i="2"/>
  <c r="B98" i="2"/>
  <c r="A98" i="2"/>
  <c r="E97" i="2"/>
  <c r="C97" i="2"/>
  <c r="B97" i="2"/>
  <c r="A97" i="2"/>
  <c r="E96" i="2"/>
  <c r="C96" i="2"/>
  <c r="B96" i="2"/>
  <c r="A96" i="2"/>
  <c r="E95" i="2"/>
  <c r="C95" i="2"/>
  <c r="B95" i="2"/>
  <c r="A95" i="2"/>
  <c r="E94" i="2"/>
  <c r="C94" i="2"/>
  <c r="B94" i="2"/>
  <c r="A94" i="2"/>
  <c r="E93" i="2"/>
  <c r="C93" i="2"/>
  <c r="B93" i="2"/>
  <c r="A93" i="2"/>
  <c r="E92" i="2"/>
  <c r="C92" i="2"/>
  <c r="B92" i="2"/>
  <c r="A92" i="2"/>
  <c r="E91" i="2"/>
  <c r="C91" i="2"/>
  <c r="B91" i="2"/>
  <c r="A91" i="2"/>
  <c r="E90" i="2"/>
  <c r="C90" i="2"/>
  <c r="B90" i="2"/>
  <c r="A90" i="2"/>
  <c r="E89" i="2"/>
  <c r="C89" i="2"/>
  <c r="B89" i="2"/>
  <c r="A89" i="2"/>
  <c r="E88" i="2"/>
  <c r="C88" i="2"/>
  <c r="B88" i="2"/>
  <c r="A88" i="2"/>
  <c r="E87" i="2"/>
  <c r="C87" i="2"/>
  <c r="B87" i="2"/>
  <c r="A87" i="2"/>
  <c r="E86" i="2"/>
  <c r="C86" i="2"/>
  <c r="B86" i="2"/>
  <c r="A86" i="2"/>
  <c r="E85" i="2"/>
  <c r="C85" i="2"/>
  <c r="B85" i="2"/>
  <c r="A85" i="2"/>
  <c r="E84" i="2"/>
  <c r="C84" i="2"/>
  <c r="B84" i="2"/>
  <c r="A84" i="2"/>
  <c r="E83" i="2"/>
  <c r="C83" i="2"/>
  <c r="B83" i="2"/>
  <c r="A83" i="2"/>
  <c r="E82" i="2"/>
  <c r="C82" i="2"/>
  <c r="B82" i="2"/>
  <c r="A82" i="2"/>
  <c r="E81" i="2"/>
  <c r="C81" i="2"/>
  <c r="B81" i="2"/>
  <c r="A81" i="2"/>
  <c r="E80" i="2"/>
  <c r="C80" i="2"/>
  <c r="B80" i="2"/>
  <c r="A80" i="2"/>
  <c r="E79" i="2"/>
  <c r="C79" i="2"/>
  <c r="B79" i="2"/>
  <c r="A79" i="2"/>
  <c r="E78" i="2"/>
  <c r="C78" i="2"/>
  <c r="B78" i="2"/>
  <c r="A78" i="2"/>
  <c r="E77" i="2"/>
  <c r="C77" i="2"/>
  <c r="B77" i="2"/>
  <c r="A77" i="2"/>
  <c r="E76" i="2"/>
  <c r="C76" i="2"/>
  <c r="B76" i="2"/>
  <c r="A76" i="2"/>
  <c r="E75" i="2"/>
  <c r="C75" i="2"/>
  <c r="B75" i="2"/>
  <c r="A75" i="2"/>
  <c r="E74" i="2"/>
  <c r="C74" i="2"/>
  <c r="B74" i="2"/>
  <c r="A74" i="2"/>
  <c r="E73" i="2"/>
  <c r="C73" i="2"/>
  <c r="B73" i="2"/>
  <c r="A73" i="2"/>
  <c r="E72" i="2"/>
  <c r="C72" i="2"/>
  <c r="B72" i="2"/>
  <c r="A72" i="2"/>
  <c r="E71" i="2"/>
  <c r="C71" i="2"/>
  <c r="B71" i="2"/>
  <c r="A71" i="2"/>
  <c r="E70" i="2"/>
  <c r="C70" i="2"/>
  <c r="B70" i="2"/>
  <c r="A70" i="2"/>
  <c r="E69" i="2"/>
  <c r="C69" i="2"/>
  <c r="B69" i="2"/>
  <c r="A69" i="2"/>
  <c r="E68" i="2"/>
  <c r="C68" i="2"/>
  <c r="B68" i="2"/>
  <c r="A68" i="2"/>
  <c r="E67" i="2"/>
  <c r="C67" i="2"/>
  <c r="B67" i="2"/>
  <c r="A67" i="2"/>
  <c r="E66" i="2"/>
  <c r="C66" i="2"/>
  <c r="B66" i="2"/>
  <c r="A66" i="2"/>
  <c r="E65" i="2"/>
  <c r="C65" i="2"/>
  <c r="B65" i="2"/>
  <c r="A65" i="2"/>
  <c r="E64" i="2"/>
  <c r="C64" i="2"/>
  <c r="B64" i="2"/>
  <c r="A64" i="2"/>
  <c r="E63" i="2"/>
  <c r="C63" i="2"/>
  <c r="B63" i="2"/>
  <c r="A63" i="2"/>
  <c r="E62" i="2"/>
  <c r="C62" i="2"/>
  <c r="B62" i="2"/>
  <c r="A62" i="2"/>
  <c r="E61" i="2"/>
  <c r="C61" i="2"/>
  <c r="B61" i="2"/>
  <c r="A61" i="2"/>
  <c r="E60" i="2"/>
  <c r="C60" i="2"/>
  <c r="B60" i="2"/>
  <c r="A60" i="2"/>
  <c r="E59" i="2"/>
  <c r="C59" i="2"/>
  <c r="B59" i="2"/>
  <c r="A59" i="2"/>
  <c r="E58" i="2"/>
  <c r="C58" i="2"/>
  <c r="B58" i="2"/>
  <c r="A58" i="2"/>
  <c r="E57" i="2"/>
  <c r="C57" i="2"/>
  <c r="B57" i="2"/>
  <c r="A57" i="2"/>
  <c r="E56" i="2"/>
  <c r="C56" i="2"/>
  <c r="B56" i="2"/>
  <c r="A56" i="2"/>
  <c r="E55" i="2"/>
  <c r="C55" i="2"/>
  <c r="B55" i="2"/>
  <c r="A55" i="2"/>
  <c r="E54" i="2"/>
  <c r="C54" i="2"/>
  <c r="B54" i="2"/>
  <c r="A54" i="2"/>
  <c r="E53" i="2"/>
  <c r="C53" i="2"/>
  <c r="B53" i="2"/>
  <c r="A53" i="2"/>
  <c r="E52" i="2"/>
  <c r="C52" i="2"/>
  <c r="B52" i="2"/>
  <c r="A52" i="2"/>
  <c r="E51" i="2"/>
  <c r="C51" i="2"/>
  <c r="B51" i="2"/>
  <c r="A51" i="2"/>
  <c r="E50" i="2"/>
  <c r="C50" i="2"/>
  <c r="B50" i="2"/>
  <c r="A50" i="2"/>
  <c r="E49" i="2"/>
  <c r="C49" i="2"/>
  <c r="B49" i="2"/>
  <c r="A49" i="2"/>
  <c r="E48" i="2"/>
  <c r="C48" i="2"/>
  <c r="B48" i="2"/>
  <c r="A48" i="2"/>
  <c r="E47" i="2"/>
  <c r="C47" i="2"/>
  <c r="B47" i="2"/>
  <c r="A47" i="2"/>
  <c r="E46" i="2"/>
  <c r="C46" i="2"/>
  <c r="B46" i="2"/>
  <c r="A46" i="2"/>
  <c r="E45" i="2"/>
  <c r="C45" i="2"/>
  <c r="B45" i="2"/>
  <c r="A45" i="2"/>
  <c r="E44" i="2"/>
  <c r="C44" i="2"/>
  <c r="B44" i="2"/>
  <c r="A44" i="2"/>
  <c r="E43" i="2"/>
  <c r="C43" i="2"/>
  <c r="B43" i="2"/>
  <c r="A43" i="2"/>
  <c r="E42" i="2"/>
  <c r="C42" i="2"/>
  <c r="B42" i="2"/>
  <c r="A42" i="2"/>
  <c r="E41" i="2"/>
  <c r="C41" i="2"/>
  <c r="B41" i="2"/>
  <c r="A41" i="2"/>
  <c r="E40" i="2"/>
  <c r="C40" i="2"/>
  <c r="B40" i="2"/>
  <c r="A40" i="2"/>
  <c r="E39" i="2"/>
  <c r="C39" i="2"/>
  <c r="B39" i="2"/>
  <c r="A39" i="2"/>
  <c r="E38" i="2"/>
  <c r="C38" i="2"/>
  <c r="B38" i="2"/>
  <c r="A38" i="2"/>
  <c r="E37" i="2"/>
  <c r="C37" i="2"/>
  <c r="B37" i="2"/>
  <c r="A37" i="2"/>
  <c r="E36" i="2"/>
  <c r="C36" i="2"/>
  <c r="B36" i="2"/>
  <c r="A36" i="2"/>
  <c r="E35" i="2"/>
  <c r="C35" i="2"/>
  <c r="B35" i="2"/>
  <c r="A35" i="2"/>
  <c r="E34" i="2"/>
  <c r="C34" i="2"/>
  <c r="B34" i="2"/>
  <c r="A34" i="2"/>
  <c r="E33" i="2"/>
  <c r="C33" i="2"/>
  <c r="B33" i="2"/>
  <c r="A33" i="2"/>
  <c r="E32" i="2"/>
  <c r="C32" i="2"/>
  <c r="B32" i="2"/>
  <c r="A32" i="2"/>
  <c r="E31" i="2"/>
  <c r="C31" i="2"/>
  <c r="B31" i="2"/>
  <c r="A31" i="2"/>
  <c r="E30" i="2"/>
  <c r="C30" i="2"/>
  <c r="B30" i="2"/>
  <c r="A30" i="2"/>
  <c r="E29" i="2"/>
  <c r="C29" i="2"/>
  <c r="B29" i="2"/>
  <c r="A29" i="2"/>
  <c r="E28" i="2"/>
  <c r="C28" i="2"/>
  <c r="B28" i="2"/>
  <c r="A28" i="2"/>
  <c r="E27" i="2"/>
  <c r="C27" i="2"/>
  <c r="B27" i="2"/>
  <c r="A27" i="2"/>
  <c r="E26" i="2"/>
  <c r="C26" i="2"/>
  <c r="B26" i="2"/>
  <c r="A26" i="2"/>
  <c r="E25" i="2"/>
  <c r="C25" i="2"/>
  <c r="B25" i="2"/>
  <c r="A25" i="2"/>
  <c r="E24" i="2"/>
  <c r="C24" i="2"/>
  <c r="B24" i="2"/>
  <c r="A24" i="2"/>
  <c r="E23" i="2"/>
  <c r="C23" i="2"/>
  <c r="B23" i="2"/>
  <c r="A23" i="2"/>
  <c r="E22" i="2"/>
  <c r="C22" i="2"/>
  <c r="B22" i="2"/>
  <c r="A22" i="2"/>
  <c r="E21" i="2"/>
  <c r="C21" i="2"/>
  <c r="B21" i="2"/>
  <c r="A21" i="2"/>
  <c r="E20" i="2"/>
  <c r="C20" i="2"/>
  <c r="B20" i="2"/>
  <c r="A20" i="2"/>
  <c r="E19" i="2"/>
  <c r="C19" i="2"/>
  <c r="B19" i="2"/>
  <c r="A19" i="2"/>
  <c r="E18" i="2"/>
  <c r="C18" i="2"/>
  <c r="B18" i="2"/>
  <c r="A18" i="2"/>
  <c r="E17" i="2"/>
  <c r="C17" i="2"/>
  <c r="B17" i="2"/>
  <c r="A17" i="2"/>
  <c r="E16" i="2"/>
  <c r="C16" i="2"/>
  <c r="B16" i="2"/>
  <c r="A16" i="2"/>
  <c r="E15" i="2"/>
  <c r="C15" i="2"/>
  <c r="B15" i="2"/>
  <c r="A15" i="2"/>
  <c r="E14" i="2"/>
  <c r="C14" i="2"/>
  <c r="B14" i="2"/>
  <c r="A14" i="2"/>
  <c r="E13" i="2"/>
  <c r="C13" i="2"/>
  <c r="B13" i="2"/>
  <c r="A13" i="2"/>
  <c r="E12" i="2"/>
  <c r="C12" i="2"/>
  <c r="B12" i="2"/>
  <c r="A12" i="2"/>
  <c r="E11" i="2"/>
  <c r="C11" i="2"/>
  <c r="B11" i="2"/>
  <c r="A11" i="2"/>
  <c r="E10" i="2"/>
  <c r="C10" i="2"/>
  <c r="B10" i="2"/>
  <c r="A10" i="2"/>
  <c r="E9" i="2"/>
  <c r="C9" i="2"/>
  <c r="B9" i="2"/>
  <c r="A9" i="2"/>
  <c r="E8" i="2"/>
  <c r="C8" i="2"/>
  <c r="B8" i="2"/>
  <c r="A8" i="2"/>
  <c r="E7" i="2"/>
  <c r="C7" i="2"/>
  <c r="B7" i="2"/>
  <c r="A7" i="2"/>
  <c r="E6" i="2"/>
  <c r="C6" i="2"/>
  <c r="B6" i="2"/>
  <c r="A6" i="2"/>
  <c r="E5" i="2"/>
  <c r="C5" i="2"/>
  <c r="B5" i="2"/>
  <c r="A5" i="2"/>
  <c r="E4" i="2"/>
  <c r="C4" i="2"/>
  <c r="B4" i="2"/>
  <c r="A4" i="2"/>
  <c r="E3" i="2"/>
  <c r="C3" i="2"/>
  <c r="B3" i="2"/>
  <c r="A3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<sst xmlns="http://schemas.openxmlformats.org/spreadsheetml/2006/main" count="418" uniqueCount="310">
  <si>
    <t>First Name</t>
  </si>
  <si>
    <t>Last Name</t>
  </si>
  <si>
    <t>Phone</t>
  </si>
  <si>
    <t>May Salary</t>
  </si>
  <si>
    <t>June Salary</t>
  </si>
  <si>
    <t>July Salary</t>
  </si>
  <si>
    <t>August Salary</t>
  </si>
  <si>
    <t>Role</t>
  </si>
  <si>
    <t>Maria</t>
  </si>
  <si>
    <t>Jenna</t>
  </si>
  <si>
    <t>Charles</t>
  </si>
  <si>
    <t>Richard</t>
  </si>
  <si>
    <t>Cindy</t>
  </si>
  <si>
    <t>Lauren</t>
  </si>
  <si>
    <t>Jill</t>
  </si>
  <si>
    <t>Kristin</t>
  </si>
  <si>
    <t>Amanda</t>
  </si>
  <si>
    <t>Joanne</t>
  </si>
  <si>
    <t>Jackie</t>
  </si>
  <si>
    <t>Alan</t>
  </si>
  <si>
    <t>Leslie</t>
  </si>
  <si>
    <t>Ruben</t>
  </si>
  <si>
    <t>Kristine</t>
  </si>
  <si>
    <t>Stanley</t>
  </si>
  <si>
    <t>Derek</t>
  </si>
  <si>
    <t>Kevin</t>
  </si>
  <si>
    <t>George</t>
  </si>
  <si>
    <t>Amy</t>
  </si>
  <si>
    <t>Natalie</t>
  </si>
  <si>
    <t>Matthew</t>
  </si>
  <si>
    <t>Theodore</t>
  </si>
  <si>
    <t>Kayla</t>
  </si>
  <si>
    <t>Jesse</t>
  </si>
  <si>
    <t>Carlos</t>
  </si>
  <si>
    <t>Bridget</t>
  </si>
  <si>
    <t>William</t>
  </si>
  <si>
    <t>John</t>
  </si>
  <si>
    <t>Stephen</t>
  </si>
  <si>
    <t>Samuel</t>
  </si>
  <si>
    <t>Russell</t>
  </si>
  <si>
    <t>Brenda</t>
  </si>
  <si>
    <t>Lindsey</t>
  </si>
  <si>
    <t>Shelia</t>
  </si>
  <si>
    <t>Holly</t>
  </si>
  <si>
    <t>Jason</t>
  </si>
  <si>
    <t>Melissa</t>
  </si>
  <si>
    <t>Abigail</t>
  </si>
  <si>
    <t>Deborah</t>
  </si>
  <si>
    <t>Megan</t>
  </si>
  <si>
    <t>Lynn</t>
  </si>
  <si>
    <t>Suzanne</t>
  </si>
  <si>
    <t>Michelle</t>
  </si>
  <si>
    <t>Elizabeth</t>
  </si>
  <si>
    <t>Jeffrey</t>
  </si>
  <si>
    <t>Catherine</t>
  </si>
  <si>
    <t>Nicholas</t>
  </si>
  <si>
    <t>James</t>
  </si>
  <si>
    <t>Lori</t>
  </si>
  <si>
    <t>Zachary</t>
  </si>
  <si>
    <t>Michael</t>
  </si>
  <si>
    <t>Joshua</t>
  </si>
  <si>
    <t>Adam</t>
  </si>
  <si>
    <t>Devin</t>
  </si>
  <si>
    <t>Brett</t>
  </si>
  <si>
    <t>Wendy</t>
  </si>
  <si>
    <t>Caitlin</t>
  </si>
  <si>
    <t>Eric</t>
  </si>
  <si>
    <t>Nancy</t>
  </si>
  <si>
    <t>Glen</t>
  </si>
  <si>
    <t>Angela</t>
  </si>
  <si>
    <t>Brian</t>
  </si>
  <si>
    <t>Steven</t>
  </si>
  <si>
    <t>Caitlyn</t>
  </si>
  <si>
    <t>Jennifer</t>
  </si>
  <si>
    <t>Joseph</t>
  </si>
  <si>
    <t>Veronica</t>
  </si>
  <si>
    <t>Ashley</t>
  </si>
  <si>
    <t>Timothy</t>
  </si>
  <si>
    <t>Vanessa</t>
  </si>
  <si>
    <t>Kaitlin</t>
  </si>
  <si>
    <t>Scott</t>
  </si>
  <si>
    <t>Cathy</t>
  </si>
  <si>
    <t>Katherine</t>
  </si>
  <si>
    <t>Shane</t>
  </si>
  <si>
    <t>Hannah</t>
  </si>
  <si>
    <t>Alexandra</t>
  </si>
  <si>
    <t>Justin</t>
  </si>
  <si>
    <t>Paul</t>
  </si>
  <si>
    <t>Joel</t>
  </si>
  <si>
    <t>Elaine</t>
  </si>
  <si>
    <t>Tanya</t>
  </si>
  <si>
    <t>Alejandra</t>
  </si>
  <si>
    <t>Eddie</t>
  </si>
  <si>
    <t>Jessica</t>
  </si>
  <si>
    <t>Carrie</t>
  </si>
  <si>
    <t>Daniel</t>
  </si>
  <si>
    <t>Matthews</t>
  </si>
  <si>
    <t>Wilson</t>
  </si>
  <si>
    <t>Morgan</t>
  </si>
  <si>
    <t>Padilla</t>
  </si>
  <si>
    <t>Roberts</t>
  </si>
  <si>
    <t>Bailey</t>
  </si>
  <si>
    <t>Thomas</t>
  </si>
  <si>
    <t>Howard</t>
  </si>
  <si>
    <t>Johnson</t>
  </si>
  <si>
    <t>Velasquez</t>
  </si>
  <si>
    <t>Barton</t>
  </si>
  <si>
    <t>Leon</t>
  </si>
  <si>
    <t>Chang</t>
  </si>
  <si>
    <t>Myers</t>
  </si>
  <si>
    <t>Cannon</t>
  </si>
  <si>
    <t>Edwards</t>
  </si>
  <si>
    <t>Sanchez</t>
  </si>
  <si>
    <t>Mason</t>
  </si>
  <si>
    <t>Bryant</t>
  </si>
  <si>
    <t>Mercer</t>
  </si>
  <si>
    <t>Garza</t>
  </si>
  <si>
    <t>Wright</t>
  </si>
  <si>
    <t>West</t>
  </si>
  <si>
    <t>Carter</t>
  </si>
  <si>
    <t>Vega</t>
  </si>
  <si>
    <t>Keith</t>
  </si>
  <si>
    <t>Duncan</t>
  </si>
  <si>
    <t>Hernandez</t>
  </si>
  <si>
    <t>Murray</t>
  </si>
  <si>
    <t>Haynes</t>
  </si>
  <si>
    <t>Smith</t>
  </si>
  <si>
    <t>Moore</t>
  </si>
  <si>
    <t>Delgado</t>
  </si>
  <si>
    <t>Kline</t>
  </si>
  <si>
    <t>Christensen</t>
  </si>
  <si>
    <t>Garcia</t>
  </si>
  <si>
    <t>Hayes</t>
  </si>
  <si>
    <t>Warren</t>
  </si>
  <si>
    <t>Mullins</t>
  </si>
  <si>
    <t>Diaz</t>
  </si>
  <si>
    <t>Robbins</t>
  </si>
  <si>
    <t>Goodman</t>
  </si>
  <si>
    <t>Richards</t>
  </si>
  <si>
    <t>Miller</t>
  </si>
  <si>
    <t>Welch</t>
  </si>
  <si>
    <t>Nelson</t>
  </si>
  <si>
    <t>Evans</t>
  </si>
  <si>
    <t>Lopez</t>
  </si>
  <si>
    <t>Gray</t>
  </si>
  <si>
    <t>Bradford</t>
  </si>
  <si>
    <t>Peters</t>
  </si>
  <si>
    <t>Mckinney</t>
  </si>
  <si>
    <t>Barry</t>
  </si>
  <si>
    <t>Jackson</t>
  </si>
  <si>
    <t>Farrell</t>
  </si>
  <si>
    <t>Blevins</t>
  </si>
  <si>
    <t>Walter</t>
  </si>
  <si>
    <t>Hughes</t>
  </si>
  <si>
    <t>Wilcox</t>
  </si>
  <si>
    <t>Hansen</t>
  </si>
  <si>
    <t>Bennett</t>
  </si>
  <si>
    <t>Blair</t>
  </si>
  <si>
    <t>Gutierrez</t>
  </si>
  <si>
    <t>Marquez</t>
  </si>
  <si>
    <t>Black</t>
  </si>
  <si>
    <t>Porter</t>
  </si>
  <si>
    <t>Todd</t>
  </si>
  <si>
    <t>Brown</t>
  </si>
  <si>
    <t>Green</t>
  </si>
  <si>
    <t>Gibbs</t>
  </si>
  <si>
    <t>Griffin</t>
  </si>
  <si>
    <t>Colon</t>
  </si>
  <si>
    <t>Benson</t>
  </si>
  <si>
    <t>Chavez</t>
  </si>
  <si>
    <t>Carr</t>
  </si>
  <si>
    <t>Williams</t>
  </si>
  <si>
    <t>Oconnor</t>
  </si>
  <si>
    <t>White</t>
  </si>
  <si>
    <t>Schmidt</t>
  </si>
  <si>
    <t>Bates</t>
  </si>
  <si>
    <t>Pham</t>
  </si>
  <si>
    <t>Peterson</t>
  </si>
  <si>
    <t>King</t>
  </si>
  <si>
    <t>Shaw</t>
  </si>
  <si>
    <t>Nielsen</t>
  </si>
  <si>
    <t>Mueller</t>
  </si>
  <si>
    <t>Perez</t>
  </si>
  <si>
    <t>Nunez</t>
  </si>
  <si>
    <t>(726)070-2818x18208</t>
  </si>
  <si>
    <t>(195)473-5348</t>
  </si>
  <si>
    <t>+1-749-103-4818</t>
  </si>
  <si>
    <t>2671171934</t>
  </si>
  <si>
    <t>662-181-6491x2350</t>
  </si>
  <si>
    <t>471-089-7083x6110</t>
  </si>
  <si>
    <t>3437092746</t>
  </si>
  <si>
    <t>071.611.8360x095</t>
  </si>
  <si>
    <t>2539646963</t>
  </si>
  <si>
    <t>118.323.2444x014</t>
  </si>
  <si>
    <t>(074)726-8552</t>
  </si>
  <si>
    <t>001-956-422-6754</t>
  </si>
  <si>
    <t>+1-141-714-4436x1062</t>
  </si>
  <si>
    <t>096.358.1674x65086</t>
  </si>
  <si>
    <t>(786)444-6229x0379</t>
  </si>
  <si>
    <t>(014)643-3538x6824</t>
  </si>
  <si>
    <t>922-129-6305</t>
  </si>
  <si>
    <t>046.076.9281x317</t>
  </si>
  <si>
    <t>530-606-5814x9570</t>
  </si>
  <si>
    <t>+1-982-420-9610</t>
  </si>
  <si>
    <t>(528)842-3885x672</t>
  </si>
  <si>
    <t>642-703-5084x8777</t>
  </si>
  <si>
    <t>812-837-3125x095</t>
  </si>
  <si>
    <t>(129)947-7949x721</t>
  </si>
  <si>
    <t>+1-314-390-3739x40010</t>
  </si>
  <si>
    <t>0360598649</t>
  </si>
  <si>
    <t>+1-546-653-4604x18283</t>
  </si>
  <si>
    <t>(803)797-5044x887</t>
  </si>
  <si>
    <t>184.246.3183</t>
  </si>
  <si>
    <t>035-645-9248</t>
  </si>
  <si>
    <t>4169947391</t>
  </si>
  <si>
    <t>884.282.1602x94936</t>
  </si>
  <si>
    <t>166.748.8609x9268</t>
  </si>
  <si>
    <t>9449513674</t>
  </si>
  <si>
    <t>+1-946-977-9785</t>
  </si>
  <si>
    <t>+1-692-554-7403</t>
  </si>
  <si>
    <t>(104)215-1399</t>
  </si>
  <si>
    <t>274.225.7170x350</t>
  </si>
  <si>
    <t>001-775-770-8156x68200</t>
  </si>
  <si>
    <t>+1-715-611-9772x560</t>
  </si>
  <si>
    <t>001-883-599-5428</t>
  </si>
  <si>
    <t>(968)447-7216x28927</t>
  </si>
  <si>
    <t>+1-841-421-4974x97933</t>
  </si>
  <si>
    <t>(338)269-4129</t>
  </si>
  <si>
    <t>+1-490-265-7210x973</t>
  </si>
  <si>
    <t>+1-081-186-8542x73187</t>
  </si>
  <si>
    <t>+1-369-758-8349</t>
  </si>
  <si>
    <t>(956)686-5643x97196</t>
  </si>
  <si>
    <t>794.199.8468x3891</t>
  </si>
  <si>
    <t>746.508.6543x10016</t>
  </si>
  <si>
    <t>760-811-4368x172</t>
  </si>
  <si>
    <t>641.372.9026</t>
  </si>
  <si>
    <t>8133937552</t>
  </si>
  <si>
    <t>001-423-762-4981x06446</t>
  </si>
  <si>
    <t>001-229-835-5373</t>
  </si>
  <si>
    <t>(900)435-8003x3888</t>
  </si>
  <si>
    <t>+1-147-865-3310x3792</t>
  </si>
  <si>
    <t>345.199.9315x21515</t>
  </si>
  <si>
    <t>(280)617-7431</t>
  </si>
  <si>
    <t>001-078-860-2582x3636</t>
  </si>
  <si>
    <t>(412)152-8478</t>
  </si>
  <si>
    <t>9123578370</t>
  </si>
  <si>
    <t>409-058-0587</t>
  </si>
  <si>
    <t>078-185-9194</t>
  </si>
  <si>
    <t>930-394-1929x54755</t>
  </si>
  <si>
    <t>794-990-3880</t>
  </si>
  <si>
    <t>+1-213-235-0190x8778</t>
  </si>
  <si>
    <t>192.494.4981x252</t>
  </si>
  <si>
    <t>001-320-115-9923</t>
  </si>
  <si>
    <t>(779)857-7871</t>
  </si>
  <si>
    <t>327-766-6525x26043</t>
  </si>
  <si>
    <t>(940)049-3125</t>
  </si>
  <si>
    <t>363-801-9551x54268</t>
  </si>
  <si>
    <t>+1-484-862-7649</t>
  </si>
  <si>
    <t>+1-799-710-1013x64439</t>
  </si>
  <si>
    <t>+1-396-974-7496</t>
  </si>
  <si>
    <t>(415)560-2536x998</t>
  </si>
  <si>
    <t>(882)336-0359</t>
  </si>
  <si>
    <t>734-177-5700</t>
  </si>
  <si>
    <t>081.250.8994x42215</t>
  </si>
  <si>
    <t>(348)292-9999x5927</t>
  </si>
  <si>
    <t>(264)773-4016</t>
  </si>
  <si>
    <t>+1-869-978-1846x8810</t>
  </si>
  <si>
    <t>721.960.2689x73883</t>
  </si>
  <si>
    <t>001-436-620-7034x312</t>
  </si>
  <si>
    <t>430.628.4305x94248</t>
  </si>
  <si>
    <t>3864502794</t>
  </si>
  <si>
    <t>+1-734-159-6792x3125</t>
  </si>
  <si>
    <t>202-093-6892x9958</t>
  </si>
  <si>
    <t>+1-149-388-9522x21407</t>
  </si>
  <si>
    <t>045-432-9535x32726</t>
  </si>
  <si>
    <t>+1-580-626-2593</t>
  </si>
  <si>
    <t>(048)595-7266x381</t>
  </si>
  <si>
    <t>001-303-654-1778x1979</t>
  </si>
  <si>
    <t>(384)070-7263x73429</t>
  </si>
  <si>
    <t>(875)585-3917</t>
  </si>
  <si>
    <t>522.946.3354</t>
  </si>
  <si>
    <t>584.365.1188x00196</t>
  </si>
  <si>
    <t>(457)612-9285x102</t>
  </si>
  <si>
    <t>(532)310-3558x81746</t>
  </si>
  <si>
    <t>System Administrator</t>
  </si>
  <si>
    <t>QA Engineer</t>
  </si>
  <si>
    <t>Mobile App Developer</t>
  </si>
  <si>
    <t>Full Stack Developer</t>
  </si>
  <si>
    <t>UI/UX Designer</t>
  </si>
  <si>
    <t>Backend Developer</t>
  </si>
  <si>
    <t>Product Manager</t>
  </si>
  <si>
    <t>Technical Support</t>
  </si>
  <si>
    <t>Cloud Engineer</t>
  </si>
  <si>
    <t>Data Scientist</t>
  </si>
  <si>
    <t>Business Analyst</t>
  </si>
  <si>
    <t>DevOps Engineer</t>
  </si>
  <si>
    <t>Frontend Developer</t>
  </si>
  <si>
    <t>Scrum Master</t>
  </si>
  <si>
    <t>Software Engineer</t>
  </si>
  <si>
    <t>Security Analyst</t>
  </si>
  <si>
    <t>Full Name</t>
  </si>
  <si>
    <t>Total Salary</t>
  </si>
  <si>
    <t>Average Salary</t>
  </si>
  <si>
    <t>First Name (role)</t>
  </si>
  <si>
    <t>Median</t>
  </si>
  <si>
    <t>Std</t>
  </si>
  <si>
    <t>Product</t>
  </si>
  <si>
    <t>Emp. Rating</t>
  </si>
  <si>
    <t>Rating(1-5)</t>
  </si>
  <si>
    <t>Median&gt;Avg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</si>
</sst>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108" zoomScaleNormal="108" workbookViewId="0">
      <pane ySplit="1" topLeftCell="A33" activePane="bottomLeft" state="frozen"/>
      <selection pane="bottomLeft" activeCell="C5" sqref="C5"/>
    </sheetView>
  </sheetViews>
  <sheetFormatPr defaultRowHeight="14.4" x14ac:dyDescent="0.3"/>
  <cols>
    <col min="1" max="2" width="11" style="2" bestFit="1" customWidth="1"/>
    <col min="3" max="3" width="24" style="2" bestFit="1" customWidth="1"/>
    <col min="4" max="4" width="11.109375" style="2" bestFit="1" customWidth="1"/>
    <col min="5" max="5" width="11.44140625" style="2" bestFit="1" customWidth="1"/>
    <col min="6" max="6" width="10.6640625" style="2" bestFit="1" customWidth="1"/>
    <col min="7" max="7" width="13.6640625" style="2" bestFit="1" customWidth="1"/>
    <col min="8" max="8" width="20" style="4" bestFit="1" customWidth="1"/>
    <col min="9" max="9" width="16.88671875" style="5" bestFit="1" customWidth="1"/>
    <col min="10" max="10" width="30.109375" style="2" bestFit="1" customWidth="1"/>
    <col min="11" max="11" width="11.88671875" style="2" bestFit="1" customWidth="1"/>
    <col min="12" max="12" width="14.6640625" style="2" bestFit="1" customWidth="1"/>
    <col min="13" max="16384" width="8.88671875" style="2"/>
  </cols>
  <sheetData>
    <row r="1" spans="1:10" s="7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7" t="s">
        <v>307</v>
      </c>
      <c r="J1" s="7" t="s">
        <v>308</v>
      </c>
    </row>
    <row r="2" spans="1:10" x14ac:dyDescent="0.3">
      <c r="A2" s="2" t="s">
        <v>8</v>
      </c>
      <c r="B2" s="2" t="s">
        <v>96</v>
      </c>
      <c r="C2" s="2" t="s">
        <v>184</v>
      </c>
      <c r="D2" s="2">
        <v>6016.44</v>
      </c>
      <c r="E2" s="2">
        <v>4652.87</v>
      </c>
      <c r="F2" s="2">
        <v>3239.67</v>
      </c>
      <c r="G2" s="2">
        <v>5805.58</v>
      </c>
      <c r="H2" s="4" t="s">
        <v>284</v>
      </c>
      <c r="I2" s="8">
        <v>2.2999999999999998</v>
      </c>
      <c r="J2" s="8">
        <v>2.2999999999999998</v>
      </c>
    </row>
    <row r="3" spans="1:10" x14ac:dyDescent="0.3">
      <c r="A3" s="2" t="s">
        <v>9</v>
      </c>
      <c r="B3" s="2" t="s">
        <v>97</v>
      </c>
      <c r="C3" s="2" t="s">
        <v>185</v>
      </c>
      <c r="D3" s="2">
        <v>5834.65</v>
      </c>
      <c r="E3" s="2">
        <v>5712.31</v>
      </c>
      <c r="F3" s="2">
        <v>4285.8599999999997</v>
      </c>
      <c r="G3" s="2">
        <v>3517.6</v>
      </c>
      <c r="H3" s="4" t="s">
        <v>285</v>
      </c>
      <c r="I3" s="8">
        <v>3.4</v>
      </c>
      <c r="J3" s="8">
        <v>3.4</v>
      </c>
    </row>
    <row r="4" spans="1:10" x14ac:dyDescent="0.3">
      <c r="A4" s="2" t="s">
        <v>10</v>
      </c>
      <c r="B4" s="2" t="s">
        <v>98</v>
      </c>
      <c r="C4" s="2" t="s">
        <v>186</v>
      </c>
      <c r="D4" s="2">
        <v>6983.7</v>
      </c>
      <c r="E4" s="2">
        <v>5847.42</v>
      </c>
      <c r="F4" s="2">
        <v>3724.53</v>
      </c>
      <c r="G4" s="2">
        <v>6073.47</v>
      </c>
      <c r="H4" s="4" t="s">
        <v>286</v>
      </c>
      <c r="I4" s="8">
        <v>3.1</v>
      </c>
      <c r="J4" s="8">
        <v>3.1</v>
      </c>
    </row>
    <row r="5" spans="1:10" x14ac:dyDescent="0.3">
      <c r="A5" s="2" t="s">
        <v>11</v>
      </c>
      <c r="B5" s="2" t="s">
        <v>99</v>
      </c>
      <c r="C5" s="2" t="s">
        <v>187</v>
      </c>
      <c r="D5" s="2">
        <v>5911.95</v>
      </c>
      <c r="E5" s="2">
        <v>3875.44</v>
      </c>
      <c r="F5" s="2">
        <v>6460.37</v>
      </c>
      <c r="G5" s="2">
        <v>6585.93</v>
      </c>
      <c r="H5" s="4" t="s">
        <v>284</v>
      </c>
      <c r="I5" s="8">
        <v>2.1</v>
      </c>
      <c r="J5" s="8">
        <v>2.1</v>
      </c>
    </row>
    <row r="6" spans="1:10" x14ac:dyDescent="0.3">
      <c r="A6" s="2" t="s">
        <v>12</v>
      </c>
      <c r="B6" s="2" t="s">
        <v>100</v>
      </c>
      <c r="C6" s="2" t="s">
        <v>188</v>
      </c>
      <c r="D6" s="2">
        <v>5887.35</v>
      </c>
      <c r="E6" s="2">
        <v>6302.53</v>
      </c>
      <c r="F6" s="2">
        <v>3036.46</v>
      </c>
      <c r="G6" s="2">
        <v>4584.24</v>
      </c>
      <c r="H6" s="4" t="s">
        <v>287</v>
      </c>
      <c r="I6" s="8">
        <v>3.1</v>
      </c>
      <c r="J6" s="8">
        <v>3.1</v>
      </c>
    </row>
    <row r="7" spans="1:10" x14ac:dyDescent="0.3">
      <c r="A7" s="2" t="s">
        <v>13</v>
      </c>
      <c r="B7" s="2" t="s">
        <v>101</v>
      </c>
      <c r="C7" s="2" t="s">
        <v>189</v>
      </c>
      <c r="D7" s="2">
        <v>3251.56</v>
      </c>
      <c r="E7" s="2">
        <v>5657.5</v>
      </c>
      <c r="F7" s="2">
        <v>6701.17</v>
      </c>
      <c r="G7" s="2">
        <v>4926.6899999999996</v>
      </c>
      <c r="H7" s="4" t="s">
        <v>288</v>
      </c>
      <c r="I7" s="8">
        <v>3.3</v>
      </c>
      <c r="J7" s="8">
        <v>3.3</v>
      </c>
    </row>
    <row r="8" spans="1:10" x14ac:dyDescent="0.3">
      <c r="A8" s="2" t="s">
        <v>14</v>
      </c>
      <c r="B8" s="2" t="s">
        <v>102</v>
      </c>
      <c r="C8" s="2" t="s">
        <v>190</v>
      </c>
      <c r="D8" s="2">
        <v>6555.22</v>
      </c>
      <c r="E8" s="2">
        <v>4378.33</v>
      </c>
      <c r="F8" s="2">
        <v>5077.71</v>
      </c>
      <c r="G8" s="2">
        <v>6216.83</v>
      </c>
      <c r="H8" s="4" t="s">
        <v>286</v>
      </c>
      <c r="I8" s="8">
        <v>4.2</v>
      </c>
      <c r="J8" s="8">
        <v>4.2</v>
      </c>
    </row>
    <row r="9" spans="1:10" x14ac:dyDescent="0.3">
      <c r="A9" s="2" t="s">
        <v>15</v>
      </c>
      <c r="B9" s="2" t="s">
        <v>76</v>
      </c>
      <c r="C9" s="2" t="s">
        <v>191</v>
      </c>
      <c r="D9" s="2">
        <v>3348.09</v>
      </c>
      <c r="E9" s="2">
        <v>3129</v>
      </c>
      <c r="F9" s="2">
        <v>3442.46</v>
      </c>
      <c r="G9" s="2">
        <v>4320.4799999999996</v>
      </c>
      <c r="H9" s="4" t="s">
        <v>285</v>
      </c>
      <c r="I9" s="8">
        <v>4.0999999999999996</v>
      </c>
      <c r="J9" s="8">
        <v>4.0999999999999996</v>
      </c>
    </row>
    <row r="10" spans="1:10" x14ac:dyDescent="0.3">
      <c r="A10" s="2" t="s">
        <v>16</v>
      </c>
      <c r="B10" s="2" t="s">
        <v>103</v>
      </c>
      <c r="C10" s="2" t="s">
        <v>192</v>
      </c>
      <c r="D10" s="2">
        <v>4182.5600000000004</v>
      </c>
      <c r="E10" s="2">
        <v>5513.64</v>
      </c>
      <c r="F10" s="2">
        <v>4506.97</v>
      </c>
      <c r="G10" s="2">
        <v>3813.66</v>
      </c>
      <c r="H10" s="4" t="s">
        <v>289</v>
      </c>
      <c r="I10" s="8">
        <v>2.2999999999999998</v>
      </c>
      <c r="J10" s="8">
        <v>2.2999999999999998</v>
      </c>
    </row>
    <row r="11" spans="1:10" x14ac:dyDescent="0.3">
      <c r="A11" s="2" t="s">
        <v>17</v>
      </c>
      <c r="B11" s="2" t="s">
        <v>104</v>
      </c>
      <c r="C11" s="2" t="s">
        <v>193</v>
      </c>
      <c r="D11" s="2">
        <v>6618.09</v>
      </c>
      <c r="E11" s="2">
        <v>5991.37</v>
      </c>
      <c r="F11" s="2">
        <v>5949</v>
      </c>
      <c r="G11" s="2">
        <v>3057.26</v>
      </c>
      <c r="H11" s="4" t="s">
        <v>290</v>
      </c>
      <c r="I11" s="8">
        <v>3.4</v>
      </c>
      <c r="J11" s="8">
        <v>3.4</v>
      </c>
    </row>
    <row r="12" spans="1:10" x14ac:dyDescent="0.3">
      <c r="A12" s="2" t="s">
        <v>18</v>
      </c>
      <c r="B12" s="2" t="s">
        <v>105</v>
      </c>
      <c r="C12" s="2" t="s">
        <v>194</v>
      </c>
      <c r="D12" s="2">
        <v>3210.37</v>
      </c>
      <c r="E12" s="2">
        <v>3176.99</v>
      </c>
      <c r="F12" s="2">
        <v>4590.2299999999996</v>
      </c>
      <c r="G12" s="2">
        <v>6246.14</v>
      </c>
      <c r="H12" s="4" t="s">
        <v>291</v>
      </c>
      <c r="I12" s="8">
        <v>3.1</v>
      </c>
      <c r="J12" s="8">
        <v>3.1</v>
      </c>
    </row>
    <row r="13" spans="1:10" x14ac:dyDescent="0.3">
      <c r="A13" s="2" t="s">
        <v>19</v>
      </c>
      <c r="B13" s="2" t="s">
        <v>106</v>
      </c>
      <c r="C13" s="2" t="s">
        <v>195</v>
      </c>
      <c r="D13" s="2">
        <v>4164.8500000000004</v>
      </c>
      <c r="E13" s="2">
        <v>4887.63</v>
      </c>
      <c r="F13" s="2">
        <v>5484.8</v>
      </c>
      <c r="G13" s="2">
        <v>4536.43</v>
      </c>
      <c r="H13" s="4" t="s">
        <v>292</v>
      </c>
      <c r="I13" s="8">
        <v>2.1</v>
      </c>
      <c r="J13" s="8">
        <v>2.1</v>
      </c>
    </row>
    <row r="14" spans="1:10" x14ac:dyDescent="0.3">
      <c r="A14" s="2" t="s">
        <v>20</v>
      </c>
      <c r="B14" s="2" t="s">
        <v>107</v>
      </c>
      <c r="C14" s="2" t="s">
        <v>196</v>
      </c>
      <c r="D14" s="2">
        <v>3747.32</v>
      </c>
      <c r="E14" s="2">
        <v>5544.31</v>
      </c>
      <c r="F14" s="2">
        <v>5120.34</v>
      </c>
      <c r="G14" s="2">
        <v>6468.26</v>
      </c>
      <c r="H14" s="4" t="s">
        <v>293</v>
      </c>
      <c r="I14" s="8">
        <v>3.4</v>
      </c>
      <c r="J14" s="8">
        <v>3.4</v>
      </c>
    </row>
    <row r="15" spans="1:10" x14ac:dyDescent="0.3">
      <c r="A15" s="2" t="s">
        <v>21</v>
      </c>
      <c r="B15" s="2" t="s">
        <v>108</v>
      </c>
      <c r="C15" s="2" t="s">
        <v>197</v>
      </c>
      <c r="D15" s="2">
        <v>4536.66</v>
      </c>
      <c r="E15" s="2">
        <v>6878.89</v>
      </c>
      <c r="F15" s="2">
        <v>5657.11</v>
      </c>
      <c r="G15" s="2">
        <v>3125.49</v>
      </c>
      <c r="H15" s="4" t="s">
        <v>294</v>
      </c>
      <c r="I15" s="8">
        <v>3.1</v>
      </c>
      <c r="J15" s="8">
        <v>3.1</v>
      </c>
    </row>
    <row r="16" spans="1:10" x14ac:dyDescent="0.3">
      <c r="A16" s="2" t="s">
        <v>22</v>
      </c>
      <c r="B16" s="2" t="s">
        <v>109</v>
      </c>
      <c r="C16" s="2" t="s">
        <v>198</v>
      </c>
      <c r="D16" s="2">
        <v>3084.9</v>
      </c>
      <c r="E16" s="2">
        <v>5767.72</v>
      </c>
      <c r="F16" s="2">
        <v>6652.55</v>
      </c>
      <c r="G16" s="2">
        <v>3133.97</v>
      </c>
      <c r="H16" s="4" t="s">
        <v>290</v>
      </c>
      <c r="I16" s="8">
        <v>2.1</v>
      </c>
      <c r="J16" s="8">
        <v>2.1</v>
      </c>
    </row>
    <row r="17" spans="1:10" x14ac:dyDescent="0.3">
      <c r="A17" s="2" t="s">
        <v>23</v>
      </c>
      <c r="B17" s="2" t="s">
        <v>110</v>
      </c>
      <c r="C17" s="2" t="s">
        <v>199</v>
      </c>
      <c r="D17" s="2">
        <v>4556.8</v>
      </c>
      <c r="E17" s="2">
        <v>3956.37</v>
      </c>
      <c r="F17" s="2">
        <v>6545.41</v>
      </c>
      <c r="G17" s="2">
        <v>4339.16</v>
      </c>
      <c r="H17" s="4" t="s">
        <v>286</v>
      </c>
      <c r="I17" s="11">
        <v>3</v>
      </c>
      <c r="J17" s="11">
        <v>3</v>
      </c>
    </row>
    <row r="18" spans="1:10" x14ac:dyDescent="0.3">
      <c r="A18" s="2" t="s">
        <v>24</v>
      </c>
      <c r="B18" s="2" t="s">
        <v>23</v>
      </c>
      <c r="C18" s="2" t="s">
        <v>200</v>
      </c>
      <c r="D18" s="2">
        <v>6344.65</v>
      </c>
      <c r="E18" s="2">
        <v>4607.7299999999996</v>
      </c>
      <c r="F18" s="2">
        <v>4628.59</v>
      </c>
      <c r="G18" s="2">
        <v>6243.74</v>
      </c>
      <c r="H18" s="4" t="s">
        <v>289</v>
      </c>
      <c r="I18" s="8">
        <v>3.1</v>
      </c>
      <c r="J18" s="8">
        <v>3.1</v>
      </c>
    </row>
    <row r="19" spans="1:10" x14ac:dyDescent="0.3">
      <c r="A19" s="2" t="s">
        <v>25</v>
      </c>
      <c r="B19" s="2" t="s">
        <v>111</v>
      </c>
      <c r="C19" s="2" t="s">
        <v>201</v>
      </c>
      <c r="D19" s="2">
        <v>5634.94</v>
      </c>
      <c r="E19" s="2">
        <v>4391.6000000000004</v>
      </c>
      <c r="F19" s="2">
        <v>3983.99</v>
      </c>
      <c r="G19" s="2">
        <v>4415.49</v>
      </c>
      <c r="H19" s="4" t="s">
        <v>295</v>
      </c>
      <c r="I19" s="8">
        <v>3.3</v>
      </c>
      <c r="J19" s="8">
        <v>3.3</v>
      </c>
    </row>
    <row r="20" spans="1:10" x14ac:dyDescent="0.3">
      <c r="A20" s="2" t="s">
        <v>26</v>
      </c>
      <c r="B20" s="2" t="s">
        <v>112</v>
      </c>
      <c r="C20" s="2" t="s">
        <v>202</v>
      </c>
      <c r="D20" s="2">
        <v>6539.77</v>
      </c>
      <c r="E20" s="2">
        <v>6093.07</v>
      </c>
      <c r="F20" s="2">
        <v>3694.24</v>
      </c>
      <c r="G20" s="2">
        <v>6437.13</v>
      </c>
      <c r="H20" s="4" t="s">
        <v>296</v>
      </c>
      <c r="I20" s="8">
        <v>4.2</v>
      </c>
      <c r="J20" s="8">
        <v>4.2</v>
      </c>
    </row>
    <row r="21" spans="1:10" x14ac:dyDescent="0.3">
      <c r="A21" s="2" t="s">
        <v>27</v>
      </c>
      <c r="B21" s="2" t="s">
        <v>113</v>
      </c>
      <c r="C21" s="2" t="s">
        <v>203</v>
      </c>
      <c r="D21" s="2">
        <v>6464.46</v>
      </c>
      <c r="E21" s="2">
        <v>6945.66</v>
      </c>
      <c r="F21" s="2">
        <v>6868.54</v>
      </c>
      <c r="G21" s="2">
        <v>3737.92</v>
      </c>
      <c r="H21" s="4" t="s">
        <v>295</v>
      </c>
      <c r="I21" s="8">
        <v>4.0999999999999996</v>
      </c>
      <c r="J21" s="8">
        <v>4.0999999999999996</v>
      </c>
    </row>
    <row r="22" spans="1:10" x14ac:dyDescent="0.3">
      <c r="A22" s="2" t="s">
        <v>28</v>
      </c>
      <c r="B22" s="2" t="s">
        <v>114</v>
      </c>
      <c r="C22" s="2" t="s">
        <v>204</v>
      </c>
      <c r="D22" s="2">
        <v>5483.64</v>
      </c>
      <c r="E22" s="2">
        <v>5834.38</v>
      </c>
      <c r="F22" s="2">
        <v>3980.57</v>
      </c>
      <c r="G22" s="2">
        <v>6709.8</v>
      </c>
      <c r="H22" s="4" t="s">
        <v>288</v>
      </c>
      <c r="I22" s="8">
        <v>2.9</v>
      </c>
      <c r="J22" s="8">
        <v>2.9</v>
      </c>
    </row>
    <row r="23" spans="1:10" x14ac:dyDescent="0.3">
      <c r="A23" s="2" t="s">
        <v>27</v>
      </c>
      <c r="B23" s="2" t="s">
        <v>115</v>
      </c>
      <c r="C23" s="2" t="s">
        <v>205</v>
      </c>
      <c r="D23" s="2">
        <v>4821.88</v>
      </c>
      <c r="E23" s="2">
        <v>4595.07</v>
      </c>
      <c r="F23" s="2">
        <v>5233.25</v>
      </c>
      <c r="G23" s="2">
        <v>5843.61</v>
      </c>
      <c r="H23" s="4" t="s">
        <v>297</v>
      </c>
      <c r="I23" s="8">
        <v>2.2999999999999998</v>
      </c>
      <c r="J23" s="8">
        <v>2.2999999999999998</v>
      </c>
    </row>
    <row r="24" spans="1:10" x14ac:dyDescent="0.3">
      <c r="A24" s="2" t="s">
        <v>29</v>
      </c>
      <c r="B24" s="2" t="s">
        <v>116</v>
      </c>
      <c r="C24" s="2" t="s">
        <v>206</v>
      </c>
      <c r="D24" s="2">
        <v>4552.93</v>
      </c>
      <c r="E24" s="2">
        <v>3093.12</v>
      </c>
      <c r="F24" s="2">
        <v>4405.41</v>
      </c>
      <c r="G24" s="2">
        <v>4673.51</v>
      </c>
      <c r="H24" s="4" t="s">
        <v>298</v>
      </c>
      <c r="I24" s="8">
        <v>3.4</v>
      </c>
      <c r="J24" s="8">
        <v>3.4</v>
      </c>
    </row>
    <row r="25" spans="1:10" x14ac:dyDescent="0.3">
      <c r="A25" s="2" t="s">
        <v>30</v>
      </c>
      <c r="B25" s="2" t="s">
        <v>117</v>
      </c>
      <c r="C25" s="2" t="s">
        <v>207</v>
      </c>
      <c r="D25" s="2">
        <v>4226.7299999999996</v>
      </c>
      <c r="E25" s="2">
        <v>6279.53</v>
      </c>
      <c r="F25" s="2">
        <v>6955.82</v>
      </c>
      <c r="G25" s="2">
        <v>4311.97</v>
      </c>
      <c r="H25" s="4" t="s">
        <v>296</v>
      </c>
      <c r="I25" s="8">
        <v>3.1</v>
      </c>
      <c r="J25" s="8">
        <v>3.1</v>
      </c>
    </row>
    <row r="26" spans="1:10" x14ac:dyDescent="0.3">
      <c r="A26" s="2" t="s">
        <v>31</v>
      </c>
      <c r="B26" s="2" t="s">
        <v>118</v>
      </c>
      <c r="C26" s="2" t="s">
        <v>208</v>
      </c>
      <c r="D26" s="2">
        <v>3416.39</v>
      </c>
      <c r="E26" s="2">
        <v>3052.12</v>
      </c>
      <c r="F26" s="2">
        <v>3897.59</v>
      </c>
      <c r="G26" s="2">
        <v>3739.01</v>
      </c>
      <c r="H26" s="4" t="s">
        <v>286</v>
      </c>
      <c r="I26" s="8">
        <v>2.1</v>
      </c>
      <c r="J26" s="8">
        <v>2.1</v>
      </c>
    </row>
    <row r="27" spans="1:10" x14ac:dyDescent="0.3">
      <c r="A27" s="2" t="s">
        <v>32</v>
      </c>
      <c r="B27" s="2" t="s">
        <v>119</v>
      </c>
      <c r="C27" s="2" t="s">
        <v>209</v>
      </c>
      <c r="D27" s="2">
        <v>4790.5600000000004</v>
      </c>
      <c r="E27" s="2">
        <v>5232.3500000000004</v>
      </c>
      <c r="F27" s="2">
        <v>6686.16</v>
      </c>
      <c r="G27" s="2">
        <v>3524.85</v>
      </c>
      <c r="H27" s="4" t="s">
        <v>285</v>
      </c>
      <c r="I27" s="8">
        <v>3.4</v>
      </c>
      <c r="J27" s="8">
        <v>3.4</v>
      </c>
    </row>
    <row r="28" spans="1:10" x14ac:dyDescent="0.3">
      <c r="A28" s="2" t="s">
        <v>33</v>
      </c>
      <c r="B28" s="2" t="s">
        <v>120</v>
      </c>
      <c r="C28" s="2" t="s">
        <v>210</v>
      </c>
      <c r="D28" s="2">
        <v>4411.21</v>
      </c>
      <c r="E28" s="2">
        <v>3625</v>
      </c>
      <c r="F28" s="2">
        <v>5544</v>
      </c>
      <c r="G28" s="2">
        <v>3861.29</v>
      </c>
      <c r="H28" s="4" t="s">
        <v>291</v>
      </c>
      <c r="I28" s="8">
        <v>3.1</v>
      </c>
      <c r="J28" s="8">
        <v>3.1</v>
      </c>
    </row>
    <row r="29" spans="1:10" x14ac:dyDescent="0.3">
      <c r="A29" s="2" t="s">
        <v>34</v>
      </c>
      <c r="B29" s="2" t="s">
        <v>121</v>
      </c>
      <c r="C29" s="2" t="s">
        <v>211</v>
      </c>
      <c r="D29" s="2">
        <v>3509.06</v>
      </c>
      <c r="E29" s="2">
        <v>4605.8599999999997</v>
      </c>
      <c r="F29" s="2">
        <v>6884.02</v>
      </c>
      <c r="G29" s="2">
        <v>3844.13</v>
      </c>
      <c r="H29" s="4" t="s">
        <v>288</v>
      </c>
      <c r="I29" s="8">
        <v>2.1</v>
      </c>
      <c r="J29" s="8">
        <v>2.1</v>
      </c>
    </row>
    <row r="30" spans="1:10" x14ac:dyDescent="0.3">
      <c r="A30" s="2" t="s">
        <v>35</v>
      </c>
      <c r="B30" s="2" t="s">
        <v>122</v>
      </c>
      <c r="C30" s="2" t="s">
        <v>212</v>
      </c>
      <c r="D30" s="2">
        <v>3306.14</v>
      </c>
      <c r="E30" s="2">
        <v>5361.46</v>
      </c>
      <c r="F30" s="2">
        <v>3323.01</v>
      </c>
      <c r="G30" s="2">
        <v>6393.41</v>
      </c>
      <c r="H30" s="4" t="s">
        <v>299</v>
      </c>
      <c r="I30" s="8">
        <v>2.9</v>
      </c>
      <c r="J30" s="8">
        <v>2.9</v>
      </c>
    </row>
    <row r="31" spans="1:10" x14ac:dyDescent="0.3">
      <c r="A31" s="2" t="s">
        <v>36</v>
      </c>
      <c r="B31" s="2" t="s">
        <v>123</v>
      </c>
      <c r="C31" s="2" t="s">
        <v>213</v>
      </c>
      <c r="D31" s="2">
        <v>3047.11</v>
      </c>
      <c r="E31" s="2">
        <v>4741.46</v>
      </c>
      <c r="F31" s="2">
        <v>3932.58</v>
      </c>
      <c r="G31" s="2">
        <v>4195.6000000000004</v>
      </c>
      <c r="H31" s="4" t="s">
        <v>288</v>
      </c>
      <c r="I31" s="8">
        <v>2.2999999999999998</v>
      </c>
      <c r="J31" s="8">
        <v>2.2999999999999998</v>
      </c>
    </row>
    <row r="32" spans="1:10" x14ac:dyDescent="0.3">
      <c r="A32" s="2" t="s">
        <v>32</v>
      </c>
      <c r="B32" s="2" t="s">
        <v>124</v>
      </c>
      <c r="C32" s="2" t="s">
        <v>214</v>
      </c>
      <c r="D32" s="2">
        <v>6663.58</v>
      </c>
      <c r="E32" s="2">
        <v>3552.8</v>
      </c>
      <c r="F32" s="2">
        <v>3056.34</v>
      </c>
      <c r="G32" s="2">
        <v>5468.26</v>
      </c>
      <c r="H32" s="4" t="s">
        <v>299</v>
      </c>
      <c r="I32" s="8">
        <v>2.9</v>
      </c>
      <c r="J32" s="8">
        <v>2.9</v>
      </c>
    </row>
    <row r="33" spans="1:10" x14ac:dyDescent="0.3">
      <c r="A33" s="2" t="s">
        <v>37</v>
      </c>
      <c r="B33" s="2" t="s">
        <v>125</v>
      </c>
      <c r="C33" s="2" t="s">
        <v>215</v>
      </c>
      <c r="D33" s="2">
        <v>6997.62</v>
      </c>
      <c r="E33" s="2">
        <v>6742.94</v>
      </c>
      <c r="F33" s="2">
        <v>3532.99</v>
      </c>
      <c r="G33" s="2">
        <v>3074.33</v>
      </c>
      <c r="H33" s="4" t="s">
        <v>291</v>
      </c>
      <c r="I33" s="8">
        <v>2.2999999999999998</v>
      </c>
      <c r="J33" s="8">
        <v>2.2999999999999998</v>
      </c>
    </row>
    <row r="34" spans="1:10" x14ac:dyDescent="0.3">
      <c r="A34" s="2" t="s">
        <v>38</v>
      </c>
      <c r="B34" s="2" t="s">
        <v>126</v>
      </c>
      <c r="C34" s="2" t="s">
        <v>216</v>
      </c>
      <c r="D34" s="2">
        <v>5258.58</v>
      </c>
      <c r="E34" s="2">
        <v>5521.03</v>
      </c>
      <c r="F34" s="2">
        <v>4037.9</v>
      </c>
      <c r="G34" s="2">
        <v>3234.98</v>
      </c>
      <c r="H34" s="4" t="s">
        <v>284</v>
      </c>
      <c r="I34" s="8">
        <v>3.4</v>
      </c>
      <c r="J34" s="8">
        <v>3.4</v>
      </c>
    </row>
    <row r="35" spans="1:10" x14ac:dyDescent="0.3">
      <c r="A35" s="2" t="s">
        <v>39</v>
      </c>
      <c r="B35" s="2" t="s">
        <v>127</v>
      </c>
      <c r="C35" s="2" t="s">
        <v>217</v>
      </c>
      <c r="D35" s="2">
        <v>6012.58</v>
      </c>
      <c r="E35" s="2">
        <v>4989.4799999999996</v>
      </c>
      <c r="F35" s="2">
        <v>3797.32</v>
      </c>
      <c r="G35" s="2">
        <v>3726.74</v>
      </c>
      <c r="H35" s="4" t="s">
        <v>287</v>
      </c>
      <c r="I35" s="8">
        <v>3.1</v>
      </c>
      <c r="J35" s="8">
        <v>3.1</v>
      </c>
    </row>
    <row r="36" spans="1:10" x14ac:dyDescent="0.3">
      <c r="A36" s="2" t="s">
        <v>40</v>
      </c>
      <c r="B36" s="2" t="s">
        <v>128</v>
      </c>
      <c r="C36" s="2" t="s">
        <v>218</v>
      </c>
      <c r="D36" s="2">
        <v>4809.93</v>
      </c>
      <c r="E36" s="2">
        <v>3113.2</v>
      </c>
      <c r="F36" s="2">
        <v>5044.28</v>
      </c>
      <c r="G36" s="2">
        <v>4245.34</v>
      </c>
      <c r="H36" s="4" t="s">
        <v>294</v>
      </c>
      <c r="I36" s="8">
        <v>3.3</v>
      </c>
      <c r="J36" s="8">
        <v>3.3</v>
      </c>
    </row>
    <row r="37" spans="1:10" x14ac:dyDescent="0.3">
      <c r="A37" s="2" t="s">
        <v>41</v>
      </c>
      <c r="B37" s="2" t="s">
        <v>129</v>
      </c>
      <c r="C37" s="2" t="s">
        <v>219</v>
      </c>
      <c r="D37" s="2">
        <v>5008.96</v>
      </c>
      <c r="E37" s="2">
        <v>3240.83</v>
      </c>
      <c r="F37" s="2">
        <v>3107.87</v>
      </c>
      <c r="G37" s="2">
        <v>6699.73</v>
      </c>
      <c r="H37" s="4" t="s">
        <v>297</v>
      </c>
      <c r="I37" s="8">
        <v>4.2</v>
      </c>
      <c r="J37" s="8">
        <v>4.2</v>
      </c>
    </row>
    <row r="38" spans="1:10" x14ac:dyDescent="0.3">
      <c r="A38" s="2" t="s">
        <v>42</v>
      </c>
      <c r="B38" s="2" t="s">
        <v>112</v>
      </c>
      <c r="C38" s="2" t="s">
        <v>220</v>
      </c>
      <c r="D38" s="2">
        <v>3763.76</v>
      </c>
      <c r="E38" s="2">
        <v>5866.53</v>
      </c>
      <c r="F38" s="2">
        <v>6892.11</v>
      </c>
      <c r="G38" s="2">
        <v>3861.78</v>
      </c>
      <c r="H38" s="4" t="s">
        <v>298</v>
      </c>
      <c r="I38" s="8">
        <v>4.0999999999999996</v>
      </c>
      <c r="J38" s="8">
        <v>4.0999999999999996</v>
      </c>
    </row>
    <row r="39" spans="1:10" x14ac:dyDescent="0.3">
      <c r="A39" s="2" t="s">
        <v>43</v>
      </c>
      <c r="B39" s="2" t="s">
        <v>130</v>
      </c>
      <c r="C39" s="2" t="s">
        <v>221</v>
      </c>
      <c r="D39" s="2">
        <v>5016.29</v>
      </c>
      <c r="E39" s="2">
        <v>4073.34</v>
      </c>
      <c r="F39" s="2">
        <v>5447.71</v>
      </c>
      <c r="G39" s="2">
        <v>6646.91</v>
      </c>
      <c r="H39" s="4" t="s">
        <v>291</v>
      </c>
      <c r="I39" s="8">
        <v>2.1</v>
      </c>
      <c r="J39" s="8">
        <v>2.1</v>
      </c>
    </row>
    <row r="40" spans="1:10" x14ac:dyDescent="0.3">
      <c r="A40" s="2" t="s">
        <v>44</v>
      </c>
      <c r="B40" s="2" t="s">
        <v>104</v>
      </c>
      <c r="C40" s="2" t="s">
        <v>222</v>
      </c>
      <c r="D40" s="2">
        <v>4245.6400000000003</v>
      </c>
      <c r="E40" s="2">
        <v>5833.67</v>
      </c>
      <c r="F40" s="2">
        <v>5170.26</v>
      </c>
      <c r="G40" s="2">
        <v>4345.28</v>
      </c>
      <c r="H40" s="4" t="s">
        <v>296</v>
      </c>
      <c r="I40" s="11">
        <v>3</v>
      </c>
      <c r="J40" s="11">
        <v>3</v>
      </c>
    </row>
    <row r="41" spans="1:10" x14ac:dyDescent="0.3">
      <c r="A41" s="2" t="s">
        <v>45</v>
      </c>
      <c r="B41" s="2" t="s">
        <v>131</v>
      </c>
      <c r="C41" s="2" t="s">
        <v>223</v>
      </c>
      <c r="D41" s="2">
        <v>5700.09</v>
      </c>
      <c r="E41" s="2">
        <v>3854.13</v>
      </c>
      <c r="F41" s="2">
        <v>3768.74</v>
      </c>
      <c r="G41" s="2">
        <v>5379.22</v>
      </c>
      <c r="H41" s="4" t="s">
        <v>296</v>
      </c>
      <c r="I41" s="8">
        <v>2.5</v>
      </c>
      <c r="J41" s="8">
        <v>2.5</v>
      </c>
    </row>
    <row r="42" spans="1:10" x14ac:dyDescent="0.3">
      <c r="A42" s="2" t="s">
        <v>16</v>
      </c>
      <c r="B42" s="2" t="s">
        <v>132</v>
      </c>
      <c r="C42" s="2" t="s">
        <v>224</v>
      </c>
      <c r="D42" s="2">
        <v>4043.15</v>
      </c>
      <c r="E42" s="2">
        <v>5979.56</v>
      </c>
      <c r="F42" s="2">
        <v>3563</v>
      </c>
      <c r="G42" s="2">
        <v>4590.83</v>
      </c>
      <c r="H42" s="4" t="s">
        <v>298</v>
      </c>
      <c r="I42" s="8">
        <v>2.7</v>
      </c>
      <c r="J42" s="8">
        <v>2.7</v>
      </c>
    </row>
    <row r="43" spans="1:10" x14ac:dyDescent="0.3">
      <c r="A43" s="2" t="s">
        <v>46</v>
      </c>
      <c r="B43" s="2" t="s">
        <v>117</v>
      </c>
      <c r="C43" s="2" t="s">
        <v>225</v>
      </c>
      <c r="D43" s="2">
        <v>5369.85</v>
      </c>
      <c r="E43" s="2">
        <v>6585.52</v>
      </c>
      <c r="F43" s="2">
        <v>6373.48</v>
      </c>
      <c r="G43" s="2">
        <v>5923.78</v>
      </c>
      <c r="H43" s="4" t="s">
        <v>297</v>
      </c>
      <c r="I43" s="8">
        <v>2.9</v>
      </c>
      <c r="J43" s="8">
        <v>2.9</v>
      </c>
    </row>
    <row r="44" spans="1:10" x14ac:dyDescent="0.3">
      <c r="A44" s="2" t="s">
        <v>47</v>
      </c>
      <c r="B44" s="2" t="s">
        <v>133</v>
      </c>
      <c r="C44" s="2" t="s">
        <v>226</v>
      </c>
      <c r="D44" s="2">
        <v>4409.8500000000004</v>
      </c>
      <c r="E44" s="2">
        <v>4179.07</v>
      </c>
      <c r="F44" s="2">
        <v>5944.03</v>
      </c>
      <c r="G44" s="2">
        <v>6671.42</v>
      </c>
      <c r="H44" s="4" t="s">
        <v>296</v>
      </c>
      <c r="I44" s="8">
        <v>2.2999999999999998</v>
      </c>
      <c r="J44" s="8">
        <v>2.2999999999999998</v>
      </c>
    </row>
    <row r="45" spans="1:10" x14ac:dyDescent="0.3">
      <c r="A45" s="2" t="s">
        <v>48</v>
      </c>
      <c r="B45" s="2" t="s">
        <v>134</v>
      </c>
      <c r="C45" s="2" t="s">
        <v>227</v>
      </c>
      <c r="D45" s="2">
        <v>6531.7</v>
      </c>
      <c r="E45" s="2">
        <v>4987.07</v>
      </c>
      <c r="F45" s="2">
        <v>4544.3100000000004</v>
      </c>
      <c r="G45" s="2">
        <v>3596.01</v>
      </c>
      <c r="H45" s="4" t="s">
        <v>284</v>
      </c>
      <c r="I45" s="8">
        <v>3.4</v>
      </c>
      <c r="J45" s="8">
        <v>3.4</v>
      </c>
    </row>
    <row r="46" spans="1:10" x14ac:dyDescent="0.3">
      <c r="A46" s="2" t="s">
        <v>49</v>
      </c>
      <c r="B46" s="2" t="s">
        <v>135</v>
      </c>
      <c r="C46" s="2" t="s">
        <v>228</v>
      </c>
      <c r="D46" s="2">
        <v>5011.99</v>
      </c>
      <c r="E46" s="2">
        <v>3187.32</v>
      </c>
      <c r="F46" s="2">
        <v>6572.83</v>
      </c>
      <c r="G46" s="2">
        <v>3914.24</v>
      </c>
      <c r="H46" s="4" t="s">
        <v>286</v>
      </c>
      <c r="I46" s="8">
        <v>3.1</v>
      </c>
      <c r="J46" s="8">
        <v>3.1</v>
      </c>
    </row>
    <row r="47" spans="1:10" x14ac:dyDescent="0.3">
      <c r="A47" s="2" t="s">
        <v>50</v>
      </c>
      <c r="B47" s="2" t="s">
        <v>136</v>
      </c>
      <c r="C47" s="2" t="s">
        <v>229</v>
      </c>
      <c r="D47" s="2">
        <v>5435.36</v>
      </c>
      <c r="E47" s="2">
        <v>6214.97</v>
      </c>
      <c r="F47" s="2">
        <v>5776.38</v>
      </c>
      <c r="G47" s="2">
        <v>5129.03</v>
      </c>
      <c r="H47" s="4" t="s">
        <v>293</v>
      </c>
      <c r="I47" s="8">
        <v>2.1</v>
      </c>
      <c r="J47" s="8">
        <v>2.1</v>
      </c>
    </row>
    <row r="48" spans="1:10" x14ac:dyDescent="0.3">
      <c r="A48" s="2" t="s">
        <v>51</v>
      </c>
      <c r="B48" s="2" t="s">
        <v>137</v>
      </c>
      <c r="C48" s="2" t="s">
        <v>230</v>
      </c>
      <c r="D48" s="2">
        <v>5579.78</v>
      </c>
      <c r="E48" s="2">
        <v>4061.85</v>
      </c>
      <c r="F48" s="2">
        <v>6629.76</v>
      </c>
      <c r="G48" s="2">
        <v>6750.48</v>
      </c>
      <c r="H48" s="4" t="s">
        <v>284</v>
      </c>
      <c r="I48" s="8">
        <v>3.4</v>
      </c>
      <c r="J48" s="8">
        <v>3.4</v>
      </c>
    </row>
    <row r="49" spans="1:10" x14ac:dyDescent="0.3">
      <c r="A49" s="2" t="s">
        <v>52</v>
      </c>
      <c r="B49" s="2" t="s">
        <v>138</v>
      </c>
      <c r="C49" s="2" t="s">
        <v>231</v>
      </c>
      <c r="D49" s="2">
        <v>3368.61</v>
      </c>
      <c r="E49" s="2">
        <v>6399.07</v>
      </c>
      <c r="F49" s="2">
        <v>6658.75</v>
      </c>
      <c r="G49" s="2">
        <v>3445</v>
      </c>
      <c r="H49" s="4" t="s">
        <v>286</v>
      </c>
      <c r="I49" s="8">
        <v>3.1</v>
      </c>
      <c r="J49" s="8">
        <v>3.1</v>
      </c>
    </row>
    <row r="50" spans="1:10" x14ac:dyDescent="0.3">
      <c r="A50" s="2" t="s">
        <v>53</v>
      </c>
      <c r="B50" s="2" t="s">
        <v>139</v>
      </c>
      <c r="C50" s="2" t="s">
        <v>232</v>
      </c>
      <c r="D50" s="2">
        <v>4439.6899999999996</v>
      </c>
      <c r="E50" s="2">
        <v>3177.26</v>
      </c>
      <c r="F50" s="2">
        <v>4478.5600000000004</v>
      </c>
      <c r="G50" s="2">
        <v>4574.2700000000004</v>
      </c>
      <c r="H50" s="4" t="s">
        <v>285</v>
      </c>
      <c r="I50" s="8">
        <v>2.1</v>
      </c>
      <c r="J50" s="8">
        <v>2.1</v>
      </c>
    </row>
    <row r="51" spans="1:10" x14ac:dyDescent="0.3">
      <c r="A51" s="2" t="s">
        <v>54</v>
      </c>
      <c r="B51" s="2" t="s">
        <v>140</v>
      </c>
      <c r="C51" s="2" t="s">
        <v>233</v>
      </c>
      <c r="D51" s="2">
        <v>5031.4399999999996</v>
      </c>
      <c r="E51" s="2">
        <v>3624.93</v>
      </c>
      <c r="F51" s="2">
        <v>6385.92</v>
      </c>
      <c r="G51" s="2">
        <v>6690.79</v>
      </c>
      <c r="H51" s="4" t="s">
        <v>290</v>
      </c>
      <c r="I51" s="11">
        <v>3</v>
      </c>
      <c r="J51" s="11">
        <v>3</v>
      </c>
    </row>
    <row r="52" spans="1:10" x14ac:dyDescent="0.3">
      <c r="A52" s="2" t="s">
        <v>55</v>
      </c>
      <c r="B52" s="2" t="s">
        <v>141</v>
      </c>
      <c r="C52" s="2" t="s">
        <v>234</v>
      </c>
      <c r="D52" s="2">
        <v>3889.08</v>
      </c>
      <c r="E52" s="2">
        <v>5392.4</v>
      </c>
      <c r="F52" s="2">
        <v>4548.2</v>
      </c>
      <c r="G52" s="2">
        <v>6832.99</v>
      </c>
      <c r="H52" s="4" t="s">
        <v>295</v>
      </c>
      <c r="I52" s="8">
        <v>3.1</v>
      </c>
      <c r="J52" s="8">
        <v>3.1</v>
      </c>
    </row>
    <row r="53" spans="1:10" x14ac:dyDescent="0.3">
      <c r="A53" s="2" t="s">
        <v>56</v>
      </c>
      <c r="B53" s="2" t="s">
        <v>135</v>
      </c>
      <c r="C53" s="2" t="s">
        <v>235</v>
      </c>
      <c r="D53" s="2">
        <v>4895.29</v>
      </c>
      <c r="E53" s="2">
        <v>4364.08</v>
      </c>
      <c r="F53" s="2">
        <v>6930.69</v>
      </c>
      <c r="G53" s="2">
        <v>6317.36</v>
      </c>
      <c r="H53" s="4" t="s">
        <v>293</v>
      </c>
      <c r="I53" s="8">
        <v>3.3</v>
      </c>
      <c r="J53" s="8">
        <v>3.3</v>
      </c>
    </row>
    <row r="54" spans="1:10" x14ac:dyDescent="0.3">
      <c r="A54" s="2" t="s">
        <v>57</v>
      </c>
      <c r="B54" s="2" t="s">
        <v>142</v>
      </c>
      <c r="C54" s="2" t="s">
        <v>236</v>
      </c>
      <c r="D54" s="2">
        <v>3781.49</v>
      </c>
      <c r="E54" s="2">
        <v>6253.95</v>
      </c>
      <c r="F54" s="2">
        <v>4717.92</v>
      </c>
      <c r="G54" s="2">
        <v>4470.88</v>
      </c>
      <c r="H54" s="4" t="s">
        <v>291</v>
      </c>
      <c r="I54" s="8">
        <v>4.2</v>
      </c>
      <c r="J54" s="8">
        <v>4.2</v>
      </c>
    </row>
    <row r="55" spans="1:10" x14ac:dyDescent="0.3">
      <c r="A55" s="2" t="s">
        <v>58</v>
      </c>
      <c r="B55" s="2" t="s">
        <v>143</v>
      </c>
      <c r="C55" s="2" t="s">
        <v>237</v>
      </c>
      <c r="D55" s="2">
        <v>5414.25</v>
      </c>
      <c r="E55" s="2">
        <v>5261.71</v>
      </c>
      <c r="F55" s="2">
        <v>6438.34</v>
      </c>
      <c r="G55" s="2">
        <v>6113.84</v>
      </c>
      <c r="H55" s="4" t="s">
        <v>284</v>
      </c>
      <c r="I55" s="8">
        <v>4.0999999999999996</v>
      </c>
      <c r="J55" s="8">
        <v>4.0999999999999996</v>
      </c>
    </row>
    <row r="56" spans="1:10" x14ac:dyDescent="0.3">
      <c r="A56" s="2" t="s">
        <v>59</v>
      </c>
      <c r="B56" s="2" t="s">
        <v>144</v>
      </c>
      <c r="C56" s="2" t="s">
        <v>238</v>
      </c>
      <c r="D56" s="2">
        <v>3032.94</v>
      </c>
      <c r="E56" s="2">
        <v>6513.93</v>
      </c>
      <c r="F56" s="2">
        <v>6071.73</v>
      </c>
      <c r="G56" s="2">
        <v>5587.62</v>
      </c>
      <c r="H56" s="4" t="s">
        <v>287</v>
      </c>
      <c r="I56" s="8">
        <v>2.9</v>
      </c>
      <c r="J56" s="8">
        <v>2.9</v>
      </c>
    </row>
    <row r="57" spans="1:10" x14ac:dyDescent="0.3">
      <c r="A57" s="2" t="s">
        <v>10</v>
      </c>
      <c r="B57" s="2" t="s">
        <v>145</v>
      </c>
      <c r="C57" s="2" t="s">
        <v>239</v>
      </c>
      <c r="D57" s="2">
        <v>5622.51</v>
      </c>
      <c r="E57" s="2">
        <v>3005.09</v>
      </c>
      <c r="F57" s="2">
        <v>5300.84</v>
      </c>
      <c r="G57" s="2">
        <v>3415.61</v>
      </c>
      <c r="H57" s="4" t="s">
        <v>297</v>
      </c>
      <c r="I57" s="8">
        <v>3.6</v>
      </c>
      <c r="J57" s="8">
        <v>3.6</v>
      </c>
    </row>
    <row r="58" spans="1:10" x14ac:dyDescent="0.3">
      <c r="A58" s="2" t="s">
        <v>60</v>
      </c>
      <c r="B58" s="2" t="s">
        <v>146</v>
      </c>
      <c r="C58" s="2" t="s">
        <v>240</v>
      </c>
      <c r="D58" s="2">
        <v>3549.43</v>
      </c>
      <c r="E58" s="2">
        <v>4217.42</v>
      </c>
      <c r="F58" s="2">
        <v>3115.41</v>
      </c>
      <c r="G58" s="2">
        <v>4337.3900000000003</v>
      </c>
      <c r="H58" s="4" t="s">
        <v>289</v>
      </c>
      <c r="I58" s="8">
        <v>3.4</v>
      </c>
      <c r="J58" s="8">
        <v>3.4</v>
      </c>
    </row>
    <row r="59" spans="1:10" x14ac:dyDescent="0.3">
      <c r="A59" s="2" t="s">
        <v>61</v>
      </c>
      <c r="B59" s="2" t="s">
        <v>147</v>
      </c>
      <c r="C59" s="2" t="s">
        <v>241</v>
      </c>
      <c r="D59" s="2">
        <v>3367.83</v>
      </c>
      <c r="E59" s="2">
        <v>3367.2</v>
      </c>
      <c r="F59" s="2">
        <v>4300.92</v>
      </c>
      <c r="G59" s="2">
        <v>4521.4399999999996</v>
      </c>
      <c r="H59" s="4" t="s">
        <v>293</v>
      </c>
      <c r="I59" s="8">
        <v>3.1</v>
      </c>
      <c r="J59" s="8">
        <v>3.1</v>
      </c>
    </row>
    <row r="60" spans="1:10" x14ac:dyDescent="0.3">
      <c r="A60" s="2" t="s">
        <v>62</v>
      </c>
      <c r="B60" s="2" t="s">
        <v>100</v>
      </c>
      <c r="C60" s="2" t="s">
        <v>242</v>
      </c>
      <c r="D60" s="2">
        <v>3983.08</v>
      </c>
      <c r="E60" s="2">
        <v>5050.68</v>
      </c>
      <c r="F60" s="2">
        <v>3497.55</v>
      </c>
      <c r="G60" s="2">
        <v>6358.96</v>
      </c>
      <c r="H60" s="4" t="s">
        <v>295</v>
      </c>
      <c r="I60" s="8">
        <v>3.3</v>
      </c>
      <c r="J60" s="8">
        <v>3.3</v>
      </c>
    </row>
    <row r="61" spans="1:10" x14ac:dyDescent="0.3">
      <c r="A61" s="2" t="s">
        <v>63</v>
      </c>
      <c r="B61" s="2" t="s">
        <v>148</v>
      </c>
      <c r="C61" s="2" t="s">
        <v>243</v>
      </c>
      <c r="D61" s="2">
        <v>4634.5200000000004</v>
      </c>
      <c r="E61" s="2">
        <v>5374.74</v>
      </c>
      <c r="F61" s="2">
        <v>4508.17</v>
      </c>
      <c r="G61" s="2">
        <v>3613.03</v>
      </c>
      <c r="H61" s="4" t="s">
        <v>293</v>
      </c>
      <c r="I61" s="8">
        <v>4.2</v>
      </c>
      <c r="J61" s="8">
        <v>4.2</v>
      </c>
    </row>
    <row r="62" spans="1:10" x14ac:dyDescent="0.3">
      <c r="A62" s="2" t="s">
        <v>64</v>
      </c>
      <c r="B62" s="2" t="s">
        <v>149</v>
      </c>
      <c r="C62" s="2" t="s">
        <v>244</v>
      </c>
      <c r="D62" s="2">
        <v>3971.53</v>
      </c>
      <c r="E62" s="2">
        <v>6932.63</v>
      </c>
      <c r="F62" s="2">
        <v>4848.37</v>
      </c>
      <c r="G62" s="2">
        <v>6160.02</v>
      </c>
      <c r="H62" s="4" t="s">
        <v>288</v>
      </c>
      <c r="I62" s="8">
        <v>4.0999999999999996</v>
      </c>
      <c r="J62" s="8">
        <v>4.0999999999999996</v>
      </c>
    </row>
    <row r="63" spans="1:10" x14ac:dyDescent="0.3">
      <c r="A63" s="2" t="s">
        <v>65</v>
      </c>
      <c r="B63" s="2" t="s">
        <v>150</v>
      </c>
      <c r="C63" s="2" t="s">
        <v>245</v>
      </c>
      <c r="D63" s="2">
        <v>6767.01</v>
      </c>
      <c r="E63" s="2">
        <v>6489.53</v>
      </c>
      <c r="F63" s="2">
        <v>3341.11</v>
      </c>
      <c r="G63" s="2">
        <v>4272.3900000000003</v>
      </c>
      <c r="H63" s="4" t="s">
        <v>293</v>
      </c>
      <c r="I63" s="8">
        <v>4.5</v>
      </c>
      <c r="J63" s="8">
        <v>4.5</v>
      </c>
    </row>
    <row r="64" spans="1:10" x14ac:dyDescent="0.3">
      <c r="A64" s="2" t="s">
        <v>66</v>
      </c>
      <c r="B64" s="2" t="s">
        <v>151</v>
      </c>
      <c r="C64" s="2" t="s">
        <v>246</v>
      </c>
      <c r="D64" s="2">
        <v>4879.08</v>
      </c>
      <c r="E64" s="2">
        <v>5912.01</v>
      </c>
      <c r="F64" s="2">
        <v>3898.61</v>
      </c>
      <c r="G64" s="2">
        <v>4523.4399999999996</v>
      </c>
      <c r="H64" s="4" t="s">
        <v>290</v>
      </c>
      <c r="I64" s="8">
        <v>2.9</v>
      </c>
      <c r="J64" s="8">
        <v>2.9</v>
      </c>
    </row>
    <row r="65" spans="1:10" x14ac:dyDescent="0.3">
      <c r="A65" s="2" t="s">
        <v>59</v>
      </c>
      <c r="B65" s="2" t="s">
        <v>152</v>
      </c>
      <c r="C65" s="2" t="s">
        <v>247</v>
      </c>
      <c r="D65" s="2">
        <v>4991.3599999999997</v>
      </c>
      <c r="E65" s="2">
        <v>3301.76</v>
      </c>
      <c r="F65" s="2">
        <v>6136.13</v>
      </c>
      <c r="G65" s="2">
        <v>4999.6899999999996</v>
      </c>
      <c r="H65" s="4" t="s">
        <v>285</v>
      </c>
      <c r="I65" s="8">
        <v>2.7</v>
      </c>
      <c r="J65" s="8">
        <v>2.7</v>
      </c>
    </row>
    <row r="66" spans="1:10" x14ac:dyDescent="0.3">
      <c r="A66" s="2" t="s">
        <v>67</v>
      </c>
      <c r="B66" s="2" t="s">
        <v>153</v>
      </c>
      <c r="C66" s="2" t="s">
        <v>248</v>
      </c>
      <c r="D66" s="2">
        <v>4495.62</v>
      </c>
      <c r="E66" s="2">
        <v>5586.6</v>
      </c>
      <c r="F66" s="2">
        <v>5329.32</v>
      </c>
      <c r="G66" s="2">
        <v>5175.09</v>
      </c>
      <c r="H66" s="4" t="s">
        <v>287</v>
      </c>
      <c r="I66" s="8">
        <v>2.9</v>
      </c>
      <c r="J66" s="8">
        <v>2.9</v>
      </c>
    </row>
    <row r="67" spans="1:10" x14ac:dyDescent="0.3">
      <c r="A67" s="2" t="s">
        <v>68</v>
      </c>
      <c r="B67" s="2" t="s">
        <v>154</v>
      </c>
      <c r="C67" s="2" t="s">
        <v>249</v>
      </c>
      <c r="D67" s="2">
        <v>3957.02</v>
      </c>
      <c r="E67" s="2">
        <v>3250.74</v>
      </c>
      <c r="F67" s="2">
        <v>6570.44</v>
      </c>
      <c r="G67" s="2">
        <v>5236.5200000000004</v>
      </c>
      <c r="H67" s="4" t="s">
        <v>287</v>
      </c>
      <c r="I67" s="8">
        <v>2.2999999999999998</v>
      </c>
      <c r="J67" s="8">
        <v>2.2999999999999998</v>
      </c>
    </row>
    <row r="68" spans="1:10" x14ac:dyDescent="0.3">
      <c r="A68" s="2" t="s">
        <v>69</v>
      </c>
      <c r="B68" s="2" t="s">
        <v>155</v>
      </c>
      <c r="C68" s="2" t="s">
        <v>250</v>
      </c>
      <c r="D68" s="2">
        <v>6970.03</v>
      </c>
      <c r="E68" s="2">
        <v>6521.71</v>
      </c>
      <c r="F68" s="2">
        <v>5673.02</v>
      </c>
      <c r="G68" s="2">
        <v>3883.01</v>
      </c>
      <c r="H68" s="4" t="s">
        <v>289</v>
      </c>
      <c r="I68" s="8">
        <v>3.4</v>
      </c>
      <c r="J68" s="8">
        <v>3.4</v>
      </c>
    </row>
    <row r="69" spans="1:10" x14ac:dyDescent="0.3">
      <c r="A69" s="2" t="s">
        <v>70</v>
      </c>
      <c r="B69" s="2" t="s">
        <v>156</v>
      </c>
      <c r="C69" s="2" t="s">
        <v>251</v>
      </c>
      <c r="D69" s="2">
        <v>3814.48</v>
      </c>
      <c r="E69" s="2">
        <v>4640.46</v>
      </c>
      <c r="F69" s="2">
        <v>4698.63</v>
      </c>
      <c r="G69" s="2">
        <v>3777.58</v>
      </c>
      <c r="H69" s="4" t="s">
        <v>290</v>
      </c>
      <c r="I69" s="8">
        <v>3.1</v>
      </c>
      <c r="J69" s="8">
        <v>3.1</v>
      </c>
    </row>
    <row r="70" spans="1:10" x14ac:dyDescent="0.3">
      <c r="A70" s="2" t="s">
        <v>71</v>
      </c>
      <c r="B70" s="2" t="s">
        <v>157</v>
      </c>
      <c r="C70" s="2" t="s">
        <v>252</v>
      </c>
      <c r="D70" s="2">
        <v>3264.07</v>
      </c>
      <c r="E70" s="2">
        <v>3038.39</v>
      </c>
      <c r="F70" s="2">
        <v>5617.52</v>
      </c>
      <c r="G70" s="2">
        <v>5693.52</v>
      </c>
      <c r="H70" s="4" t="s">
        <v>287</v>
      </c>
      <c r="I70" s="8">
        <v>2.1</v>
      </c>
      <c r="J70" s="8">
        <v>2.1</v>
      </c>
    </row>
    <row r="71" spans="1:10" x14ac:dyDescent="0.3">
      <c r="A71" s="2" t="s">
        <v>72</v>
      </c>
      <c r="B71" s="2" t="s">
        <v>158</v>
      </c>
      <c r="C71" s="2" t="s">
        <v>253</v>
      </c>
      <c r="D71" s="2">
        <v>5741.58</v>
      </c>
      <c r="E71" s="2">
        <v>4870.58</v>
      </c>
      <c r="F71" s="2">
        <v>3602.34</v>
      </c>
      <c r="G71" s="2">
        <v>4590.3500000000004</v>
      </c>
      <c r="H71" s="4" t="s">
        <v>295</v>
      </c>
      <c r="I71" s="8">
        <v>3.4</v>
      </c>
      <c r="J71" s="8">
        <v>3.4</v>
      </c>
    </row>
    <row r="72" spans="1:10" x14ac:dyDescent="0.3">
      <c r="A72" s="2" t="s">
        <v>73</v>
      </c>
      <c r="B72" s="2" t="s">
        <v>159</v>
      </c>
      <c r="C72" s="2" t="s">
        <v>254</v>
      </c>
      <c r="D72" s="2">
        <v>5885.23</v>
      </c>
      <c r="E72" s="2">
        <v>3391.55</v>
      </c>
      <c r="F72" s="2">
        <v>5468.76</v>
      </c>
      <c r="G72" s="2">
        <v>4150.55</v>
      </c>
      <c r="H72" s="4" t="s">
        <v>287</v>
      </c>
      <c r="I72" s="8">
        <v>3.1</v>
      </c>
      <c r="J72" s="8">
        <v>3.1</v>
      </c>
    </row>
    <row r="73" spans="1:10" x14ac:dyDescent="0.3">
      <c r="A73" s="2" t="s">
        <v>74</v>
      </c>
      <c r="B73" s="2" t="s">
        <v>160</v>
      </c>
      <c r="C73" s="2" t="s">
        <v>255</v>
      </c>
      <c r="D73" s="2">
        <v>4225.79</v>
      </c>
      <c r="E73" s="2">
        <v>4053.17</v>
      </c>
      <c r="F73" s="2">
        <v>5929.87</v>
      </c>
      <c r="G73" s="2">
        <v>3128.86</v>
      </c>
      <c r="H73" s="4" t="s">
        <v>298</v>
      </c>
      <c r="I73" s="8">
        <v>2.1</v>
      </c>
      <c r="J73" s="8">
        <v>2.1</v>
      </c>
    </row>
    <row r="74" spans="1:10" x14ac:dyDescent="0.3">
      <c r="A74" s="2" t="s">
        <v>75</v>
      </c>
      <c r="B74" s="2" t="s">
        <v>161</v>
      </c>
      <c r="C74" s="2" t="s">
        <v>256</v>
      </c>
      <c r="D74" s="2">
        <v>4125.34</v>
      </c>
      <c r="E74" s="2">
        <v>3078.78</v>
      </c>
      <c r="F74" s="2">
        <v>3023.32</v>
      </c>
      <c r="G74" s="2">
        <v>6850.49</v>
      </c>
      <c r="H74" s="4" t="s">
        <v>294</v>
      </c>
      <c r="I74" s="11">
        <v>3</v>
      </c>
      <c r="J74" s="11">
        <v>3</v>
      </c>
    </row>
    <row r="75" spans="1:10" x14ac:dyDescent="0.3">
      <c r="A75" s="2" t="s">
        <v>16</v>
      </c>
      <c r="B75" s="2" t="s">
        <v>162</v>
      </c>
      <c r="C75" s="2" t="s">
        <v>257</v>
      </c>
      <c r="D75" s="2">
        <v>4391.55</v>
      </c>
      <c r="E75" s="2">
        <v>3939.4</v>
      </c>
      <c r="F75" s="2">
        <v>4210.3900000000003</v>
      </c>
      <c r="G75" s="2">
        <v>3133.01</v>
      </c>
      <c r="H75" s="4" t="s">
        <v>292</v>
      </c>
      <c r="I75" s="8">
        <v>3.1</v>
      </c>
      <c r="J75" s="8">
        <v>3.1</v>
      </c>
    </row>
    <row r="76" spans="1:10" x14ac:dyDescent="0.3">
      <c r="A76" s="2" t="s">
        <v>76</v>
      </c>
      <c r="B76" s="2" t="s">
        <v>163</v>
      </c>
      <c r="C76" s="2" t="s">
        <v>258</v>
      </c>
      <c r="D76" s="2">
        <v>5587.8</v>
      </c>
      <c r="E76" s="2">
        <v>6836.38</v>
      </c>
      <c r="F76" s="2">
        <v>4846.8</v>
      </c>
      <c r="G76" s="2">
        <v>4509.2299999999996</v>
      </c>
      <c r="H76" s="4" t="s">
        <v>298</v>
      </c>
      <c r="I76" s="8">
        <v>3.3</v>
      </c>
      <c r="J76" s="8">
        <v>3.3</v>
      </c>
    </row>
    <row r="77" spans="1:10" x14ac:dyDescent="0.3">
      <c r="A77" s="2" t="s">
        <v>37</v>
      </c>
      <c r="B77" s="2" t="s">
        <v>164</v>
      </c>
      <c r="C77" s="2" t="s">
        <v>259</v>
      </c>
      <c r="D77" s="2">
        <v>5925.56</v>
      </c>
      <c r="E77" s="2">
        <v>6712.24</v>
      </c>
      <c r="F77" s="2">
        <v>6195.76</v>
      </c>
      <c r="G77" s="2">
        <v>3332.31</v>
      </c>
      <c r="H77" s="4" t="s">
        <v>288</v>
      </c>
      <c r="I77" s="8">
        <v>4.2</v>
      </c>
      <c r="J77" s="8">
        <v>4.2</v>
      </c>
    </row>
    <row r="78" spans="1:10" x14ac:dyDescent="0.3">
      <c r="A78" s="2" t="s">
        <v>69</v>
      </c>
      <c r="B78" s="2" t="s">
        <v>165</v>
      </c>
      <c r="C78" s="2" t="s">
        <v>260</v>
      </c>
      <c r="D78" s="2">
        <v>3175.56</v>
      </c>
      <c r="E78" s="2">
        <v>3365.88</v>
      </c>
      <c r="F78" s="2">
        <v>5626.21</v>
      </c>
      <c r="G78" s="2">
        <v>4387.21</v>
      </c>
      <c r="H78" s="4" t="s">
        <v>294</v>
      </c>
      <c r="I78" s="8">
        <v>4.0999999999999996</v>
      </c>
      <c r="J78" s="8">
        <v>4.0999999999999996</v>
      </c>
    </row>
    <row r="79" spans="1:10" x14ac:dyDescent="0.3">
      <c r="A79" s="2" t="s">
        <v>77</v>
      </c>
      <c r="B79" s="2" t="s">
        <v>153</v>
      </c>
      <c r="C79" s="2" t="s">
        <v>261</v>
      </c>
      <c r="D79" s="2">
        <v>6434.59</v>
      </c>
      <c r="E79" s="2">
        <v>3875.13</v>
      </c>
      <c r="F79" s="2">
        <v>5204.5200000000004</v>
      </c>
      <c r="G79" s="2">
        <v>4324.1400000000003</v>
      </c>
      <c r="H79" s="4" t="s">
        <v>287</v>
      </c>
      <c r="I79" s="8">
        <v>2.9</v>
      </c>
      <c r="J79" s="8">
        <v>2.9</v>
      </c>
    </row>
    <row r="80" spans="1:10" x14ac:dyDescent="0.3">
      <c r="A80" s="2" t="s">
        <v>78</v>
      </c>
      <c r="B80" s="2" t="s">
        <v>166</v>
      </c>
      <c r="C80" s="2" t="s">
        <v>262</v>
      </c>
      <c r="D80" s="2">
        <v>6136.32</v>
      </c>
      <c r="E80" s="2">
        <v>4283.09</v>
      </c>
      <c r="F80" s="2">
        <v>3095.53</v>
      </c>
      <c r="G80" s="2">
        <v>4911.3900000000003</v>
      </c>
      <c r="H80" s="4" t="s">
        <v>293</v>
      </c>
      <c r="I80" s="8">
        <v>3.6</v>
      </c>
      <c r="J80" s="8">
        <v>3.6</v>
      </c>
    </row>
    <row r="81" spans="1:10" x14ac:dyDescent="0.3">
      <c r="A81" s="2" t="s">
        <v>79</v>
      </c>
      <c r="B81" s="2" t="s">
        <v>167</v>
      </c>
      <c r="C81" s="2" t="s">
        <v>263</v>
      </c>
      <c r="D81" s="2">
        <v>3408.3</v>
      </c>
      <c r="E81" s="2">
        <v>5842.74</v>
      </c>
      <c r="F81" s="2">
        <v>3051.3</v>
      </c>
      <c r="G81" s="2">
        <v>4366.04</v>
      </c>
      <c r="H81" s="4" t="s">
        <v>297</v>
      </c>
      <c r="I81" s="8">
        <v>3.4</v>
      </c>
      <c r="J81" s="8">
        <v>3.4</v>
      </c>
    </row>
    <row r="82" spans="1:10" x14ac:dyDescent="0.3">
      <c r="A82" s="2" t="s">
        <v>60</v>
      </c>
      <c r="B82" s="2" t="s">
        <v>168</v>
      </c>
      <c r="C82" s="2" t="s">
        <v>264</v>
      </c>
      <c r="D82" s="2">
        <v>5158.87</v>
      </c>
      <c r="E82" s="2">
        <v>3644.6</v>
      </c>
      <c r="F82" s="2">
        <v>6870.53</v>
      </c>
      <c r="G82" s="2">
        <v>3619.84</v>
      </c>
      <c r="H82" s="4" t="s">
        <v>293</v>
      </c>
      <c r="I82" s="8">
        <v>3.1</v>
      </c>
      <c r="J82" s="8">
        <v>3.1</v>
      </c>
    </row>
    <row r="83" spans="1:10" x14ac:dyDescent="0.3">
      <c r="A83" s="2" t="s">
        <v>55</v>
      </c>
      <c r="B83" s="2" t="s">
        <v>169</v>
      </c>
      <c r="C83" s="2" t="s">
        <v>265</v>
      </c>
      <c r="D83" s="2">
        <v>5963.45</v>
      </c>
      <c r="E83" s="2">
        <v>4531.49</v>
      </c>
      <c r="F83" s="2">
        <v>5054.51</v>
      </c>
      <c r="G83" s="2">
        <v>3010.66</v>
      </c>
      <c r="H83" s="4" t="s">
        <v>299</v>
      </c>
      <c r="I83" s="8">
        <v>3.3</v>
      </c>
      <c r="J83" s="8">
        <v>3.3</v>
      </c>
    </row>
    <row r="84" spans="1:10" x14ac:dyDescent="0.3">
      <c r="A84" s="2" t="s">
        <v>77</v>
      </c>
      <c r="B84" s="2" t="s">
        <v>141</v>
      </c>
      <c r="C84" s="2" t="s">
        <v>266</v>
      </c>
      <c r="D84" s="2">
        <v>3669.42</v>
      </c>
      <c r="E84" s="2">
        <v>3953.22</v>
      </c>
      <c r="F84" s="2">
        <v>6732.35</v>
      </c>
      <c r="G84" s="2">
        <v>4719.21</v>
      </c>
      <c r="H84" s="4" t="s">
        <v>296</v>
      </c>
      <c r="I84" s="8">
        <v>4.2</v>
      </c>
      <c r="J84" s="8">
        <v>4.2</v>
      </c>
    </row>
    <row r="85" spans="1:10" x14ac:dyDescent="0.3">
      <c r="A85" s="2" t="s">
        <v>80</v>
      </c>
      <c r="B85" s="2" t="s">
        <v>126</v>
      </c>
      <c r="C85" s="2" t="s">
        <v>267</v>
      </c>
      <c r="D85" s="2">
        <v>5787.43</v>
      </c>
      <c r="E85" s="2">
        <v>5411.29</v>
      </c>
      <c r="F85" s="2">
        <v>6201.6</v>
      </c>
      <c r="G85" s="2">
        <v>3841.33</v>
      </c>
      <c r="H85" s="4" t="s">
        <v>296</v>
      </c>
      <c r="I85" s="8">
        <v>4.5</v>
      </c>
      <c r="J85" s="8">
        <v>4.5</v>
      </c>
    </row>
    <row r="86" spans="1:10" x14ac:dyDescent="0.3">
      <c r="A86" s="2" t="s">
        <v>81</v>
      </c>
      <c r="B86" s="2" t="s">
        <v>170</v>
      </c>
      <c r="C86" s="2" t="s">
        <v>268</v>
      </c>
      <c r="D86" s="2">
        <v>4422.68</v>
      </c>
      <c r="E86" s="2">
        <v>5454.21</v>
      </c>
      <c r="F86" s="2">
        <v>6628.28</v>
      </c>
      <c r="G86" s="2">
        <v>5762.52</v>
      </c>
      <c r="H86" s="4" t="s">
        <v>295</v>
      </c>
      <c r="I86" s="8">
        <v>2.9</v>
      </c>
      <c r="J86" s="8">
        <v>2.9</v>
      </c>
    </row>
    <row r="87" spans="1:10" x14ac:dyDescent="0.3">
      <c r="A87" s="2" t="s">
        <v>82</v>
      </c>
      <c r="B87" s="2" t="s">
        <v>171</v>
      </c>
      <c r="C87" s="2" t="s">
        <v>269</v>
      </c>
      <c r="D87" s="2">
        <v>6286.71</v>
      </c>
      <c r="E87" s="2">
        <v>3654.59</v>
      </c>
      <c r="F87" s="2">
        <v>5807.41</v>
      </c>
      <c r="G87" s="2">
        <v>5753.11</v>
      </c>
      <c r="H87" s="4" t="s">
        <v>286</v>
      </c>
      <c r="I87" s="8">
        <v>2.7</v>
      </c>
      <c r="J87" s="8">
        <v>2.7</v>
      </c>
    </row>
    <row r="88" spans="1:10" x14ac:dyDescent="0.3">
      <c r="A88" s="2" t="s">
        <v>83</v>
      </c>
      <c r="B88" s="2" t="s">
        <v>172</v>
      </c>
      <c r="C88" s="2" t="s">
        <v>270</v>
      </c>
      <c r="D88" s="2">
        <v>5348.92</v>
      </c>
      <c r="E88" s="2">
        <v>5828.94</v>
      </c>
      <c r="F88" s="2">
        <v>5285.13</v>
      </c>
      <c r="G88" s="2">
        <v>3281.53</v>
      </c>
      <c r="H88" s="4" t="s">
        <v>299</v>
      </c>
      <c r="I88" s="8">
        <v>2.9</v>
      </c>
      <c r="J88" s="8">
        <v>2.9</v>
      </c>
    </row>
    <row r="89" spans="1:10" x14ac:dyDescent="0.3">
      <c r="A89" s="2" t="s">
        <v>28</v>
      </c>
      <c r="B89" s="2" t="s">
        <v>173</v>
      </c>
      <c r="C89" s="2" t="s">
        <v>271</v>
      </c>
      <c r="D89" s="2">
        <v>4755.93</v>
      </c>
      <c r="E89" s="2">
        <v>6415.84</v>
      </c>
      <c r="F89" s="2">
        <v>6058.99</v>
      </c>
      <c r="G89" s="2">
        <v>5671.68</v>
      </c>
      <c r="H89" s="4" t="s">
        <v>289</v>
      </c>
      <c r="I89" s="8">
        <v>2.2999999999999998</v>
      </c>
      <c r="J89" s="8">
        <v>2.2999999999999998</v>
      </c>
    </row>
    <row r="90" spans="1:10" x14ac:dyDescent="0.3">
      <c r="A90" s="2" t="s">
        <v>84</v>
      </c>
      <c r="B90" s="2" t="s">
        <v>174</v>
      </c>
      <c r="C90" s="2" t="s">
        <v>272</v>
      </c>
      <c r="D90" s="2">
        <v>6189.98</v>
      </c>
      <c r="E90" s="2">
        <v>6058.23</v>
      </c>
      <c r="F90" s="2">
        <v>3381.97</v>
      </c>
      <c r="G90" s="2">
        <v>3004.5</v>
      </c>
      <c r="H90" s="4" t="s">
        <v>284</v>
      </c>
      <c r="I90" s="8">
        <v>3.4</v>
      </c>
      <c r="J90" s="8">
        <v>3.4</v>
      </c>
    </row>
    <row r="91" spans="1:10" x14ac:dyDescent="0.3">
      <c r="A91" s="2" t="s">
        <v>85</v>
      </c>
      <c r="B91" s="2" t="s">
        <v>175</v>
      </c>
      <c r="C91" s="2" t="s">
        <v>273</v>
      </c>
      <c r="D91" s="2">
        <v>6697.8</v>
      </c>
      <c r="E91" s="2">
        <v>4563.8500000000004</v>
      </c>
      <c r="F91" s="2">
        <v>6066.99</v>
      </c>
      <c r="G91" s="2">
        <v>4036.5</v>
      </c>
      <c r="H91" s="4" t="s">
        <v>295</v>
      </c>
      <c r="I91" s="8">
        <v>3.1</v>
      </c>
      <c r="J91" s="8">
        <v>3.1</v>
      </c>
    </row>
    <row r="92" spans="1:10" x14ac:dyDescent="0.3">
      <c r="A92" s="2" t="s">
        <v>86</v>
      </c>
      <c r="B92" s="2" t="s">
        <v>176</v>
      </c>
      <c r="C92" s="2" t="s">
        <v>274</v>
      </c>
      <c r="D92" s="2">
        <v>3845.83</v>
      </c>
      <c r="E92" s="2">
        <v>5980.7</v>
      </c>
      <c r="F92" s="2">
        <v>5127.8100000000004</v>
      </c>
      <c r="G92" s="2">
        <v>4823.2700000000004</v>
      </c>
      <c r="H92" s="4" t="s">
        <v>294</v>
      </c>
      <c r="I92" s="8">
        <v>2.1</v>
      </c>
      <c r="J92" s="8">
        <v>2.1</v>
      </c>
    </row>
    <row r="93" spans="1:10" x14ac:dyDescent="0.3">
      <c r="A93" s="2" t="s">
        <v>87</v>
      </c>
      <c r="B93" s="2" t="s">
        <v>177</v>
      </c>
      <c r="C93" s="2" t="s">
        <v>275</v>
      </c>
      <c r="D93" s="2">
        <v>4349.7</v>
      </c>
      <c r="E93" s="2">
        <v>5961</v>
      </c>
      <c r="F93" s="2">
        <v>5194.5200000000004</v>
      </c>
      <c r="G93" s="2">
        <v>5782.19</v>
      </c>
      <c r="H93" s="4" t="s">
        <v>290</v>
      </c>
      <c r="I93" s="8">
        <v>3.4</v>
      </c>
      <c r="J93" s="8">
        <v>3.4</v>
      </c>
    </row>
    <row r="94" spans="1:10" x14ac:dyDescent="0.3">
      <c r="A94" s="2" t="s">
        <v>88</v>
      </c>
      <c r="B94" s="2" t="s">
        <v>178</v>
      </c>
      <c r="C94" s="2" t="s">
        <v>276</v>
      </c>
      <c r="D94" s="2">
        <v>4004.91</v>
      </c>
      <c r="E94" s="2">
        <v>5556.48</v>
      </c>
      <c r="F94" s="2">
        <v>4096.32</v>
      </c>
      <c r="G94" s="2">
        <v>3286.24</v>
      </c>
      <c r="H94" s="4" t="s">
        <v>293</v>
      </c>
      <c r="I94" s="8">
        <v>2.9</v>
      </c>
      <c r="J94" s="8">
        <v>2.9</v>
      </c>
    </row>
    <row r="95" spans="1:10" x14ac:dyDescent="0.3">
      <c r="A95" s="2" t="s">
        <v>89</v>
      </c>
      <c r="B95" s="2" t="s">
        <v>179</v>
      </c>
      <c r="C95" s="2" t="s">
        <v>277</v>
      </c>
      <c r="D95" s="2">
        <v>6461.35</v>
      </c>
      <c r="E95" s="2">
        <v>4618.3599999999997</v>
      </c>
      <c r="F95" s="2">
        <v>6609.16</v>
      </c>
      <c r="G95" s="2">
        <v>5333.7</v>
      </c>
      <c r="H95" s="4" t="s">
        <v>285</v>
      </c>
      <c r="I95" s="8">
        <v>3.6</v>
      </c>
      <c r="J95" s="8">
        <v>3.6</v>
      </c>
    </row>
    <row r="96" spans="1:10" x14ac:dyDescent="0.3">
      <c r="A96" s="2" t="s">
        <v>90</v>
      </c>
      <c r="B96" s="2" t="s">
        <v>180</v>
      </c>
      <c r="C96" s="2" t="s">
        <v>278</v>
      </c>
      <c r="D96" s="2">
        <v>4915.26</v>
      </c>
      <c r="E96" s="2">
        <v>6112.7</v>
      </c>
      <c r="F96" s="2">
        <v>3377.02</v>
      </c>
      <c r="G96" s="2">
        <v>4837.07</v>
      </c>
      <c r="H96" s="4" t="s">
        <v>284</v>
      </c>
      <c r="I96" s="8">
        <v>3.4</v>
      </c>
      <c r="J96" s="8">
        <v>3.4</v>
      </c>
    </row>
    <row r="97" spans="1:10" x14ac:dyDescent="0.3">
      <c r="A97" s="2" t="s">
        <v>91</v>
      </c>
      <c r="B97" s="2" t="s">
        <v>181</v>
      </c>
      <c r="C97" s="2" t="s">
        <v>279</v>
      </c>
      <c r="D97" s="2">
        <v>6193.29</v>
      </c>
      <c r="E97" s="2">
        <v>4866.6499999999996</v>
      </c>
      <c r="F97" s="2">
        <v>3233.92</v>
      </c>
      <c r="G97" s="2">
        <v>5115.8500000000004</v>
      </c>
      <c r="H97" s="4" t="s">
        <v>288</v>
      </c>
      <c r="I97" s="8">
        <v>3.1</v>
      </c>
      <c r="J97" s="8">
        <v>3.1</v>
      </c>
    </row>
    <row r="98" spans="1:10" x14ac:dyDescent="0.3">
      <c r="A98" s="2" t="s">
        <v>92</v>
      </c>
      <c r="B98" s="2" t="s">
        <v>182</v>
      </c>
      <c r="C98" s="2" t="s">
        <v>280</v>
      </c>
      <c r="D98" s="2">
        <v>3260.17</v>
      </c>
      <c r="E98" s="2">
        <v>4229.93</v>
      </c>
      <c r="F98" s="2">
        <v>5294.95</v>
      </c>
      <c r="G98" s="2">
        <v>5961.1</v>
      </c>
      <c r="H98" s="4" t="s">
        <v>291</v>
      </c>
      <c r="I98" s="8">
        <v>3.3</v>
      </c>
      <c r="J98" s="8">
        <v>3.3</v>
      </c>
    </row>
    <row r="99" spans="1:10" x14ac:dyDescent="0.3">
      <c r="A99" s="2" t="s">
        <v>93</v>
      </c>
      <c r="B99" s="2" t="s">
        <v>183</v>
      </c>
      <c r="C99" s="2" t="s">
        <v>281</v>
      </c>
      <c r="D99" s="2">
        <v>3599.67</v>
      </c>
      <c r="E99" s="2">
        <v>4246.3999999999996</v>
      </c>
      <c r="F99" s="2">
        <v>6818.32</v>
      </c>
      <c r="G99" s="2">
        <v>3180.62</v>
      </c>
      <c r="H99" s="4" t="s">
        <v>288</v>
      </c>
      <c r="I99" s="8">
        <v>4.2</v>
      </c>
      <c r="J99" s="8">
        <v>4.2</v>
      </c>
    </row>
    <row r="100" spans="1:10" x14ac:dyDescent="0.3">
      <c r="A100" s="2" t="s">
        <v>94</v>
      </c>
      <c r="B100" s="2" t="s">
        <v>117</v>
      </c>
      <c r="C100" s="2" t="s">
        <v>282</v>
      </c>
      <c r="D100" s="2">
        <v>6964.15</v>
      </c>
      <c r="E100" s="2">
        <v>4160.26</v>
      </c>
      <c r="F100" s="2">
        <v>3515.45</v>
      </c>
      <c r="G100" s="2">
        <v>4953.16</v>
      </c>
      <c r="H100" s="4" t="s">
        <v>287</v>
      </c>
      <c r="I100" s="8">
        <v>4.0999999999999996</v>
      </c>
      <c r="J100" s="8">
        <v>4.0999999999999996</v>
      </c>
    </row>
    <row r="101" spans="1:10" x14ac:dyDescent="0.3">
      <c r="A101" s="2" t="s">
        <v>95</v>
      </c>
      <c r="B101" s="2" t="s">
        <v>125</v>
      </c>
      <c r="C101" s="2" t="s">
        <v>283</v>
      </c>
      <c r="D101" s="2">
        <v>4000.69</v>
      </c>
      <c r="E101" s="2">
        <v>5249.83</v>
      </c>
      <c r="F101" s="2">
        <v>5403.28</v>
      </c>
      <c r="G101" s="2">
        <v>6795.31</v>
      </c>
      <c r="H101" s="4" t="s">
        <v>289</v>
      </c>
      <c r="I101" s="8">
        <v>4.5</v>
      </c>
      <c r="J101" s="8">
        <v>4.5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2039766-BEA8-407F-836B-ED3A6E61961A}">
            <x14:iconSet iconSet="3Stars" showValue="0">
              <x14:cfvo type="percent">
                <xm:f>0</xm:f>
              </x14:cfvo>
              <x14:cfvo type="num">
                <xm:f>3</xm:f>
              </x14:cfvo>
              <x14:cfvo type="num">
                <xm:f>4</xm:f>
              </x14:cfvo>
            </x14:iconSet>
          </x14:cfRule>
          <xm:sqref>J2:J101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3C5C-E7A3-4ED0-A8D8-554506645B9D}">
  <dimension ref="A1:H101"/>
  <sheetViews>
    <sheetView topLeftCell="A72" workbookViewId="0">
      <selection activeCell="H2" sqref="H2:H101"/>
    </sheetView>
  </sheetViews>
  <sheetFormatPr defaultRowHeight="14.4" x14ac:dyDescent="0.3"/>
  <cols>
    <col min="1" max="1" width="16.44140625" bestFit="1" customWidth="1"/>
    <col min="2" max="2" width="28.77734375" bestFit="1" customWidth="1"/>
    <col min="3" max="3" width="11.88671875" bestFit="1" customWidth="1"/>
    <col min="4" max="4" width="14.6640625" bestFit="1" customWidth="1"/>
    <col min="5" max="5" width="9" bestFit="1" customWidth="1"/>
    <col min="6" max="6" width="12.5546875" bestFit="1" customWidth="1"/>
    <col min="7" max="7" width="12" bestFit="1" customWidth="1"/>
    <col min="8" max="8" width="12.5546875" bestFit="1" customWidth="1"/>
  </cols>
  <sheetData>
    <row r="1" spans="1:8" ht="15.6" x14ac:dyDescent="0.3">
      <c r="A1" s="6" t="s">
        <v>300</v>
      </c>
      <c r="B1" s="7" t="s">
        <v>303</v>
      </c>
      <c r="C1" s="7" t="s">
        <v>301</v>
      </c>
      <c r="D1" s="7" t="s">
        <v>302</v>
      </c>
      <c r="E1" s="7" t="s">
        <v>304</v>
      </c>
      <c r="F1" s="7" t="s">
        <v>305</v>
      </c>
      <c r="G1" s="7" t="s">
        <v>306</v>
      </c>
      <c r="H1" s="7" t="s">
        <v>309</v>
      </c>
    </row>
    <row r="2" spans="1:8" x14ac:dyDescent="0.3">
      <c r="A2" s="8" t="str">
        <f>_xlfn.CONCAT(Sheet1!A2," ",Sheet1!B2)</f>
        <v>Maria Matthews</v>
      </c>
      <c r="B2" s="9" t="str">
        <f>_xlfn.CONCAT(Sheet1!A2, " (",Sheet1!H2,")")</f>
        <v>Maria (System Administrator)</v>
      </c>
      <c r="C2" s="9">
        <f>SUM(Sheet1!D2:G2)</f>
        <v>19714.559999999998</v>
      </c>
      <c r="D2" s="9">
        <f>AVERAGE(Sheet1!D2:G2)</f>
        <v>4928.6399999999994</v>
      </c>
      <c r="E2" s="9">
        <f>MEDIAN(Sheet1!D2:F2,Sheet1!G2)</f>
        <v>5229.2250000000004</v>
      </c>
      <c r="F2" s="10">
        <f>STDEV(Sheet1!D2:G2)</f>
        <v>1275.5392790763742</v>
      </c>
      <c r="G2" s="9">
        <f>PRODUCT(Sheet1!D2,Sheet1!F2:G2)</f>
        <v>113158186357.21536</v>
      </c>
      <c r="H2" s="9" t="str">
        <f>IF(E2&gt;D2,"Approved", "Not Approved")</f>
        <v>Approved</v>
      </c>
    </row>
    <row r="3" spans="1:8" x14ac:dyDescent="0.3">
      <c r="A3" s="8" t="str">
        <f>_xlfn.CONCAT(Sheet1!A3," ",Sheet1!B3)</f>
        <v>Jenna Wilson</v>
      </c>
      <c r="B3" s="9" t="str">
        <f>_xlfn.CONCAT(Sheet1!A3, " (",Sheet1!H3,")")</f>
        <v>Jenna (QA Engineer)</v>
      </c>
      <c r="C3" s="9">
        <f>SUM(Sheet1!D3:G3)</f>
        <v>19350.419999999998</v>
      </c>
      <c r="D3" s="9">
        <f>AVERAGE(Sheet1!D3:G3)</f>
        <v>4837.6049999999996</v>
      </c>
      <c r="E3" s="9">
        <f>MEDIAN(Sheet1!D3:F3,Sheet1!G3)</f>
        <v>4999.085</v>
      </c>
      <c r="F3" s="10">
        <f>STDEV(Sheet1!D3:G3)</f>
        <v>1126.3574497911416</v>
      </c>
      <c r="G3" s="9">
        <f>PRODUCT(Sheet1!D3,Sheet1!F3:G3)</f>
        <v>87962839949.162384</v>
      </c>
      <c r="H3" s="9" t="str">
        <f t="shared" ref="H3:H66" si="0">IF(E3&gt;D3,"Approved", "Not Approved")</f>
        <v>Approved</v>
      </c>
    </row>
    <row r="4" spans="1:8" x14ac:dyDescent="0.3">
      <c r="A4" s="8" t="str">
        <f>_xlfn.CONCAT(Sheet1!A4," ",Sheet1!B4)</f>
        <v>Charles Morgan</v>
      </c>
      <c r="B4" s="9" t="str">
        <f>_xlfn.CONCAT(Sheet1!A4, " (",Sheet1!H4,")")</f>
        <v>Charles (Mobile App Developer)</v>
      </c>
      <c r="C4" s="9">
        <f>SUM(Sheet1!D4:G4)</f>
        <v>22629.119999999999</v>
      </c>
      <c r="D4" s="9">
        <f>AVERAGE(Sheet1!D4:G4)</f>
        <v>5657.28</v>
      </c>
      <c r="E4" s="9">
        <f>MEDIAN(Sheet1!D4:F4,Sheet1!G4)</f>
        <v>5960.4449999999997</v>
      </c>
      <c r="F4" s="10">
        <f>STDEV(Sheet1!D4:G4)</f>
        <v>1378.9222741692167</v>
      </c>
      <c r="G4" s="9">
        <f>PRODUCT(Sheet1!D4,Sheet1!F4:G4)</f>
        <v>157977029147.8287</v>
      </c>
      <c r="H4" s="9" t="str">
        <f t="shared" si="0"/>
        <v>Approved</v>
      </c>
    </row>
    <row r="5" spans="1:8" x14ac:dyDescent="0.3">
      <c r="A5" s="8" t="str">
        <f>_xlfn.CONCAT(Sheet1!A5," ",Sheet1!B5)</f>
        <v>Richard Padilla</v>
      </c>
      <c r="B5" s="9" t="str">
        <f>_xlfn.CONCAT(Sheet1!A5, " (",Sheet1!H5,")")</f>
        <v>Richard (System Administrator)</v>
      </c>
      <c r="C5" s="9">
        <f>SUM(Sheet1!D5:G5)</f>
        <v>22833.69</v>
      </c>
      <c r="D5" s="9">
        <f>AVERAGE(Sheet1!D5:G5)</f>
        <v>5708.4224999999997</v>
      </c>
      <c r="E5" s="9">
        <f>MEDIAN(Sheet1!D5:F5,Sheet1!G5)</f>
        <v>6186.16</v>
      </c>
      <c r="F5" s="10">
        <f>STDEV(Sheet1!D5:G5)</f>
        <v>1256.5419138618797</v>
      </c>
      <c r="G5" s="9">
        <f>PRODUCT(Sheet1!D5,Sheet1!F5:G5)</f>
        <v>251538956263.08948</v>
      </c>
      <c r="H5" s="9" t="str">
        <f t="shared" si="0"/>
        <v>Approved</v>
      </c>
    </row>
    <row r="6" spans="1:8" x14ac:dyDescent="0.3">
      <c r="A6" s="8" t="str">
        <f>_xlfn.CONCAT(Sheet1!A6," ",Sheet1!B6)</f>
        <v>Cindy Roberts</v>
      </c>
      <c r="B6" s="9" t="str">
        <f>_xlfn.CONCAT(Sheet1!A6, " (",Sheet1!H6,")")</f>
        <v>Cindy (Full Stack Developer)</v>
      </c>
      <c r="C6" s="9">
        <f>SUM(Sheet1!D6:G6)</f>
        <v>19810.580000000002</v>
      </c>
      <c r="D6" s="9">
        <f>AVERAGE(Sheet1!D6:G6)</f>
        <v>4952.6450000000004</v>
      </c>
      <c r="E6" s="9">
        <f>MEDIAN(Sheet1!D6:F6,Sheet1!G6)</f>
        <v>5235.7950000000001</v>
      </c>
      <c r="F6" s="10">
        <f>STDEV(Sheet1!D6:G6)</f>
        <v>1472.3394251439872</v>
      </c>
      <c r="G6" s="9">
        <f>PRODUCT(Sheet1!D6,Sheet1!F6:G6)</f>
        <v>81951095956.771439</v>
      </c>
      <c r="H6" s="9" t="str">
        <f t="shared" si="0"/>
        <v>Approved</v>
      </c>
    </row>
    <row r="7" spans="1:8" x14ac:dyDescent="0.3">
      <c r="A7" s="8" t="str">
        <f>_xlfn.CONCAT(Sheet1!A7," ",Sheet1!B7)</f>
        <v>Lauren Bailey</v>
      </c>
      <c r="B7" s="9" t="str">
        <f>_xlfn.CONCAT(Sheet1!A7, " (",Sheet1!H7,")")</f>
        <v>Lauren (UI/UX Designer)</v>
      </c>
      <c r="C7" s="9">
        <f>SUM(Sheet1!D7:G7)</f>
        <v>20536.919999999998</v>
      </c>
      <c r="D7" s="9">
        <f>AVERAGE(Sheet1!D7:G7)</f>
        <v>5134.2299999999996</v>
      </c>
      <c r="E7" s="9">
        <f>MEDIAN(Sheet1!D7:F7,Sheet1!G7)</f>
        <v>5292.0949999999993</v>
      </c>
      <c r="F7" s="10">
        <f>STDEV(Sheet1!D7:G7)</f>
        <v>1451.0492338304748</v>
      </c>
      <c r="G7" s="9">
        <f>PRODUCT(Sheet1!D7,Sheet1!F7:G7)</f>
        <v>107348911244.79958</v>
      </c>
      <c r="H7" s="9" t="str">
        <f t="shared" si="0"/>
        <v>Approved</v>
      </c>
    </row>
    <row r="8" spans="1:8" x14ac:dyDescent="0.3">
      <c r="A8" s="8" t="str">
        <f>_xlfn.CONCAT(Sheet1!A8," ",Sheet1!B8)</f>
        <v>Jill Thomas</v>
      </c>
      <c r="B8" s="9" t="str">
        <f>_xlfn.CONCAT(Sheet1!A8, " (",Sheet1!H8,")")</f>
        <v>Jill (Mobile App Developer)</v>
      </c>
      <c r="C8" s="9">
        <f>SUM(Sheet1!D8:G8)</f>
        <v>22228.089999999997</v>
      </c>
      <c r="D8" s="9">
        <f>AVERAGE(Sheet1!D8:G8)</f>
        <v>5557.0224999999991</v>
      </c>
      <c r="E8" s="9">
        <f>MEDIAN(Sheet1!D8:F8,Sheet1!G8)</f>
        <v>5647.27</v>
      </c>
      <c r="F8" s="10">
        <f>STDEV(Sheet1!D8:G8)</f>
        <v>1008.4312351824893</v>
      </c>
      <c r="G8" s="9">
        <f>PRODUCT(Sheet1!D8,Sheet1!F8:G8)</f>
        <v>206930333174.88055</v>
      </c>
      <c r="H8" s="9" t="str">
        <f t="shared" si="0"/>
        <v>Approved</v>
      </c>
    </row>
    <row r="9" spans="1:8" x14ac:dyDescent="0.3">
      <c r="A9" s="8" t="str">
        <f>_xlfn.CONCAT(Sheet1!A9," ",Sheet1!B9)</f>
        <v>Kristin Ashley</v>
      </c>
      <c r="B9" s="9" t="str">
        <f>_xlfn.CONCAT(Sheet1!A9, " (",Sheet1!H9,")")</f>
        <v>Kristin (QA Engineer)</v>
      </c>
      <c r="C9" s="9">
        <f>SUM(Sheet1!D9:G9)</f>
        <v>14240.029999999999</v>
      </c>
      <c r="D9" s="9">
        <f>AVERAGE(Sheet1!D9:G9)</f>
        <v>3560.0074999999997</v>
      </c>
      <c r="E9" s="9">
        <f>MEDIAN(Sheet1!D9:F9,Sheet1!G9)</f>
        <v>3395.2750000000001</v>
      </c>
      <c r="F9" s="10">
        <f>STDEV(Sheet1!D9:G9)</f>
        <v>523.70867533868477</v>
      </c>
      <c r="G9" s="9">
        <f>PRODUCT(Sheet1!D9,Sheet1!F9:G9)</f>
        <v>49796409013.680664</v>
      </c>
      <c r="H9" s="9" t="str">
        <f t="shared" si="0"/>
        <v>Not Approved</v>
      </c>
    </row>
    <row r="10" spans="1:8" x14ac:dyDescent="0.3">
      <c r="A10" s="8" t="str">
        <f>_xlfn.CONCAT(Sheet1!A10," ",Sheet1!B10)</f>
        <v>Amanda Howard</v>
      </c>
      <c r="B10" s="9" t="str">
        <f>_xlfn.CONCAT(Sheet1!A10, " (",Sheet1!H10,")")</f>
        <v>Amanda (Backend Developer)</v>
      </c>
      <c r="C10" s="9">
        <f>SUM(Sheet1!D10:G10)</f>
        <v>18016.830000000002</v>
      </c>
      <c r="D10" s="9">
        <f>AVERAGE(Sheet1!D10:G10)</f>
        <v>4504.2075000000004</v>
      </c>
      <c r="E10" s="9">
        <f>MEDIAN(Sheet1!D10:F10,Sheet1!G10)</f>
        <v>4344.7650000000003</v>
      </c>
      <c r="F10" s="10">
        <f>STDEV(Sheet1!D10:G10)</f>
        <v>730.13116800453304</v>
      </c>
      <c r="G10" s="9">
        <f>PRODUCT(Sheet1!D10,Sheet1!F10:G10)</f>
        <v>71890055469.734116</v>
      </c>
      <c r="H10" s="9" t="str">
        <f t="shared" si="0"/>
        <v>Not Approved</v>
      </c>
    </row>
    <row r="11" spans="1:8" x14ac:dyDescent="0.3">
      <c r="A11" s="8" t="str">
        <f>_xlfn.CONCAT(Sheet1!A11," ",Sheet1!B11)</f>
        <v>Joanne Johnson</v>
      </c>
      <c r="B11" s="9" t="str">
        <f>_xlfn.CONCAT(Sheet1!A11, " (",Sheet1!H11,")")</f>
        <v>Joanne (Product Manager)</v>
      </c>
      <c r="C11" s="9">
        <f>SUM(Sheet1!D11:G11)</f>
        <v>21615.72</v>
      </c>
      <c r="D11" s="9">
        <f>AVERAGE(Sheet1!D11:G11)</f>
        <v>5403.93</v>
      </c>
      <c r="E11" s="9">
        <f>MEDIAN(Sheet1!D11:F11,Sheet1!G11)</f>
        <v>5970.1849999999995</v>
      </c>
      <c r="F11" s="10">
        <f>STDEV(Sheet1!D11:G11)</f>
        <v>1594.0756624660767</v>
      </c>
      <c r="G11" s="9">
        <f>PRODUCT(Sheet1!D11,Sheet1!F11:G11)</f>
        <v>120367436686.89662</v>
      </c>
      <c r="H11" s="9" t="str">
        <f t="shared" si="0"/>
        <v>Approved</v>
      </c>
    </row>
    <row r="12" spans="1:8" x14ac:dyDescent="0.3">
      <c r="A12" s="8" t="str">
        <f>_xlfn.CONCAT(Sheet1!A12," ",Sheet1!B12)</f>
        <v>Jackie Velasquez</v>
      </c>
      <c r="B12" s="9" t="str">
        <f>_xlfn.CONCAT(Sheet1!A12, " (",Sheet1!H12,")")</f>
        <v>Jackie (Technical Support)</v>
      </c>
      <c r="C12" s="9">
        <f>SUM(Sheet1!D12:G12)</f>
        <v>17223.73</v>
      </c>
      <c r="D12" s="9">
        <f>AVERAGE(Sheet1!D12:G12)</f>
        <v>4305.9324999999999</v>
      </c>
      <c r="E12" s="9">
        <f>MEDIAN(Sheet1!D12:F12,Sheet1!G12)</f>
        <v>3900.2999999999997</v>
      </c>
      <c r="F12" s="10">
        <f>STDEV(Sheet1!D12:G12)</f>
        <v>1451.4359064130263</v>
      </c>
      <c r="G12" s="9">
        <f>PRODUCT(Sheet1!D12,Sheet1!F12:G12)</f>
        <v>92045222022.270508</v>
      </c>
      <c r="H12" s="9" t="str">
        <f t="shared" si="0"/>
        <v>Not Approved</v>
      </c>
    </row>
    <row r="13" spans="1:8" x14ac:dyDescent="0.3">
      <c r="A13" s="8" t="str">
        <f>_xlfn.CONCAT(Sheet1!A13," ",Sheet1!B13)</f>
        <v>Alan Barton</v>
      </c>
      <c r="B13" s="9" t="str">
        <f>_xlfn.CONCAT(Sheet1!A13, " (",Sheet1!H13,")")</f>
        <v>Alan (Cloud Engineer)</v>
      </c>
      <c r="C13" s="9">
        <f>SUM(Sheet1!D13:G13)</f>
        <v>19073.71</v>
      </c>
      <c r="D13" s="9">
        <f>AVERAGE(Sheet1!D13:G13)</f>
        <v>4768.4274999999998</v>
      </c>
      <c r="E13" s="9">
        <f>MEDIAN(Sheet1!D13:F13,Sheet1!G13)</f>
        <v>4712.0300000000007</v>
      </c>
      <c r="F13" s="10">
        <f>STDEV(Sheet1!D13:G13)</f>
        <v>561.4052111368992</v>
      </c>
      <c r="G13" s="9">
        <f>PRODUCT(Sheet1!D13,Sheet1!F13:G13)</f>
        <v>103627345702.87041</v>
      </c>
      <c r="H13" s="9" t="str">
        <f t="shared" si="0"/>
        <v>Not Approved</v>
      </c>
    </row>
    <row r="14" spans="1:8" x14ac:dyDescent="0.3">
      <c r="A14" s="8" t="str">
        <f>_xlfn.CONCAT(Sheet1!A14," ",Sheet1!B14)</f>
        <v>Leslie Leon</v>
      </c>
      <c r="B14" s="9" t="str">
        <f>_xlfn.CONCAT(Sheet1!A14, " (",Sheet1!H14,")")</f>
        <v>Leslie (Data Scientist)</v>
      </c>
      <c r="C14" s="9">
        <f>SUM(Sheet1!D14:G14)</f>
        <v>20880.230000000003</v>
      </c>
      <c r="D14" s="9">
        <f>AVERAGE(Sheet1!D14:G14)</f>
        <v>5220.0575000000008</v>
      </c>
      <c r="E14" s="9">
        <f>MEDIAN(Sheet1!D14:F14,Sheet1!G14)</f>
        <v>5332.3250000000007</v>
      </c>
      <c r="F14" s="10">
        <f>STDEV(Sheet1!D14:G14)</f>
        <v>1131.6725805159615</v>
      </c>
      <c r="G14" s="9">
        <f>PRODUCT(Sheet1!D14,Sheet1!F14:G14)</f>
        <v>124110078261.20549</v>
      </c>
      <c r="H14" s="9" t="str">
        <f t="shared" si="0"/>
        <v>Approved</v>
      </c>
    </row>
    <row r="15" spans="1:8" x14ac:dyDescent="0.3">
      <c r="A15" s="8" t="str">
        <f>_xlfn.CONCAT(Sheet1!A15," ",Sheet1!B15)</f>
        <v>Ruben Chang</v>
      </c>
      <c r="B15" s="9" t="str">
        <f>_xlfn.CONCAT(Sheet1!A15, " (",Sheet1!H15,")")</f>
        <v>Ruben (Business Analyst)</v>
      </c>
      <c r="C15" s="9">
        <f>SUM(Sheet1!D15:G15)</f>
        <v>20198.150000000001</v>
      </c>
      <c r="D15" s="9">
        <f>AVERAGE(Sheet1!D15:G15)</f>
        <v>5049.5375000000004</v>
      </c>
      <c r="E15" s="9">
        <f>MEDIAN(Sheet1!D15:F15,Sheet1!G15)</f>
        <v>5096.8850000000002</v>
      </c>
      <c r="F15" s="10">
        <f>STDEV(Sheet1!D15:G15)</f>
        <v>1600.0705218078108</v>
      </c>
      <c r="G15" s="9">
        <f>PRODUCT(Sheet1!D15,Sheet1!F15:G15)</f>
        <v>80213777587.854767</v>
      </c>
      <c r="H15" s="9" t="str">
        <f t="shared" si="0"/>
        <v>Approved</v>
      </c>
    </row>
    <row r="16" spans="1:8" x14ac:dyDescent="0.3">
      <c r="A16" s="8" t="str">
        <f>_xlfn.CONCAT(Sheet1!A16," ",Sheet1!B16)</f>
        <v>Kristine Myers</v>
      </c>
      <c r="B16" s="9" t="str">
        <f>_xlfn.CONCAT(Sheet1!A16, " (",Sheet1!H16,")")</f>
        <v>Kristine (Product Manager)</v>
      </c>
      <c r="C16" s="9">
        <f>SUM(Sheet1!D16:G16)</f>
        <v>18639.140000000003</v>
      </c>
      <c r="D16" s="9">
        <f>AVERAGE(Sheet1!D16:G16)</f>
        <v>4659.7850000000008</v>
      </c>
      <c r="E16" s="9">
        <f>MEDIAN(Sheet1!D16:F16,Sheet1!G16)</f>
        <v>4450.8450000000003</v>
      </c>
      <c r="F16" s="10">
        <f>STDEV(Sheet1!D16:G16)</f>
        <v>1826.3813481764034</v>
      </c>
      <c r="G16" s="9">
        <f>PRODUCT(Sheet1!D16,Sheet1!F16:G16)</f>
        <v>64316747311.785149</v>
      </c>
      <c r="H16" s="9" t="str">
        <f t="shared" si="0"/>
        <v>Not Approved</v>
      </c>
    </row>
    <row r="17" spans="1:8" x14ac:dyDescent="0.3">
      <c r="A17" s="8" t="str">
        <f>_xlfn.CONCAT(Sheet1!A17," ",Sheet1!B17)</f>
        <v>Stanley Cannon</v>
      </c>
      <c r="B17" s="9" t="str">
        <f>_xlfn.CONCAT(Sheet1!A17, " (",Sheet1!H17,")")</f>
        <v>Stanley (Mobile App Developer)</v>
      </c>
      <c r="C17" s="9">
        <f>SUM(Sheet1!D17:G17)</f>
        <v>19397.739999999998</v>
      </c>
      <c r="D17" s="9">
        <f>AVERAGE(Sheet1!D17:G17)</f>
        <v>4849.4349999999995</v>
      </c>
      <c r="E17" s="9">
        <f>MEDIAN(Sheet1!D17:F17,Sheet1!G17)</f>
        <v>4447.9799999999996</v>
      </c>
      <c r="F17" s="10">
        <f>STDEV(Sheet1!D17:G17)</f>
        <v>1157.5710365099294</v>
      </c>
      <c r="G17" s="9">
        <f>PRODUCT(Sheet1!D17,Sheet1!F17:G17)</f>
        <v>129420325465.51807</v>
      </c>
      <c r="H17" s="9" t="str">
        <f t="shared" si="0"/>
        <v>Not Approved</v>
      </c>
    </row>
    <row r="18" spans="1:8" x14ac:dyDescent="0.3">
      <c r="A18" s="8" t="str">
        <f>_xlfn.CONCAT(Sheet1!A18," ",Sheet1!B18)</f>
        <v>Derek Stanley</v>
      </c>
      <c r="B18" s="9" t="str">
        <f>_xlfn.CONCAT(Sheet1!A18, " (",Sheet1!H18,")")</f>
        <v>Derek (Backend Developer)</v>
      </c>
      <c r="C18" s="9">
        <f>SUM(Sheet1!D18:G18)</f>
        <v>21824.71</v>
      </c>
      <c r="D18" s="9">
        <f>AVERAGE(Sheet1!D18:G18)</f>
        <v>5456.1774999999998</v>
      </c>
      <c r="E18" s="9">
        <f>MEDIAN(Sheet1!D18:F18,Sheet1!G18)</f>
        <v>5436.165</v>
      </c>
      <c r="F18" s="10">
        <f>STDEV(Sheet1!D18:G18)</f>
        <v>968.5732299065819</v>
      </c>
      <c r="G18" s="9">
        <f>PRODUCT(Sheet1!D18,Sheet1!F18:G18)</f>
        <v>183358561081.89267</v>
      </c>
      <c r="H18" s="9" t="str">
        <f t="shared" si="0"/>
        <v>Not Approved</v>
      </c>
    </row>
    <row r="19" spans="1:8" x14ac:dyDescent="0.3">
      <c r="A19" s="8" t="str">
        <f>_xlfn.CONCAT(Sheet1!A19," ",Sheet1!B19)</f>
        <v>Kevin Edwards</v>
      </c>
      <c r="B19" s="9" t="str">
        <f>_xlfn.CONCAT(Sheet1!A19, " (",Sheet1!H19,")")</f>
        <v>Kevin (DevOps Engineer)</v>
      </c>
      <c r="C19" s="9">
        <f>SUM(Sheet1!D19:G19)</f>
        <v>18426.02</v>
      </c>
      <c r="D19" s="9">
        <f>AVERAGE(Sheet1!D19:G19)</f>
        <v>4606.5050000000001</v>
      </c>
      <c r="E19" s="9">
        <f>MEDIAN(Sheet1!D19:F19,Sheet1!G19)</f>
        <v>4403.5450000000001</v>
      </c>
      <c r="F19" s="10">
        <f>STDEV(Sheet1!D19:G19)</f>
        <v>713.64658940308993</v>
      </c>
      <c r="G19" s="9">
        <f>PRODUCT(Sheet1!D19,Sheet1!F19:G19)</f>
        <v>99125739732.658188</v>
      </c>
      <c r="H19" s="9" t="str">
        <f t="shared" si="0"/>
        <v>Not Approved</v>
      </c>
    </row>
    <row r="20" spans="1:8" x14ac:dyDescent="0.3">
      <c r="A20" s="8" t="str">
        <f>_xlfn.CONCAT(Sheet1!A20," ",Sheet1!B20)</f>
        <v>George Sanchez</v>
      </c>
      <c r="B20" s="9" t="str">
        <f>_xlfn.CONCAT(Sheet1!A20, " (",Sheet1!H20,")")</f>
        <v>George (Frontend Developer)</v>
      </c>
      <c r="C20" s="9">
        <f>SUM(Sheet1!D20:G20)</f>
        <v>22764.21</v>
      </c>
      <c r="D20" s="9">
        <f>AVERAGE(Sheet1!D20:G20)</f>
        <v>5691.0524999999998</v>
      </c>
      <c r="E20" s="9">
        <f>MEDIAN(Sheet1!D20:F20,Sheet1!G20)</f>
        <v>6265.1</v>
      </c>
      <c r="F20" s="10">
        <f>STDEV(Sheet1!D20:G20)</f>
        <v>1344.8458723679091</v>
      </c>
      <c r="G20" s="9">
        <f>PRODUCT(Sheet1!D20,Sheet1!F20:G20)</f>
        <v>155517713008.32782</v>
      </c>
      <c r="H20" s="9" t="str">
        <f t="shared" si="0"/>
        <v>Approved</v>
      </c>
    </row>
    <row r="21" spans="1:8" x14ac:dyDescent="0.3">
      <c r="A21" s="8" t="str">
        <f>_xlfn.CONCAT(Sheet1!A21," ",Sheet1!B21)</f>
        <v>Amy Mason</v>
      </c>
      <c r="B21" s="9" t="str">
        <f>_xlfn.CONCAT(Sheet1!A21, " (",Sheet1!H21,")")</f>
        <v>Amy (DevOps Engineer)</v>
      </c>
      <c r="C21" s="9">
        <f>SUM(Sheet1!D21:G21)</f>
        <v>24016.58</v>
      </c>
      <c r="D21" s="9">
        <f>AVERAGE(Sheet1!D21:G21)</f>
        <v>6004.1450000000004</v>
      </c>
      <c r="E21" s="9">
        <f>MEDIAN(Sheet1!D21:F21,Sheet1!G21)</f>
        <v>6666.5</v>
      </c>
      <c r="F21" s="10">
        <f>STDEV(Sheet1!D21:G21)</f>
        <v>1525.4829684507556</v>
      </c>
      <c r="G21" s="9">
        <f>PRODUCT(Sheet1!D21,Sheet1!F21:G21)</f>
        <v>165968888894.27213</v>
      </c>
      <c r="H21" s="9" t="str">
        <f t="shared" si="0"/>
        <v>Approved</v>
      </c>
    </row>
    <row r="22" spans="1:8" x14ac:dyDescent="0.3">
      <c r="A22" s="8" t="str">
        <f>_xlfn.CONCAT(Sheet1!A22," ",Sheet1!B22)</f>
        <v>Natalie Bryant</v>
      </c>
      <c r="B22" s="9" t="str">
        <f>_xlfn.CONCAT(Sheet1!A22, " (",Sheet1!H22,")")</f>
        <v>Natalie (UI/UX Designer)</v>
      </c>
      <c r="C22" s="9">
        <f>SUM(Sheet1!D22:G22)</f>
        <v>22008.39</v>
      </c>
      <c r="D22" s="9">
        <f>AVERAGE(Sheet1!D22:G22)</f>
        <v>5502.0974999999999</v>
      </c>
      <c r="E22" s="9">
        <f>MEDIAN(Sheet1!D22:F22,Sheet1!G22)</f>
        <v>5659.01</v>
      </c>
      <c r="F22" s="10">
        <f>STDEV(Sheet1!D22:G22)</f>
        <v>1137.8845285404286</v>
      </c>
      <c r="G22" s="9">
        <f>PRODUCT(Sheet1!D22,Sheet1!F22:G22)</f>
        <v>146461600787.33304</v>
      </c>
      <c r="H22" s="9" t="str">
        <f t="shared" si="0"/>
        <v>Approved</v>
      </c>
    </row>
    <row r="23" spans="1:8" x14ac:dyDescent="0.3">
      <c r="A23" s="8" t="str">
        <f>_xlfn.CONCAT(Sheet1!A23," ",Sheet1!B23)</f>
        <v>Amy Mercer</v>
      </c>
      <c r="B23" s="9" t="str">
        <f>_xlfn.CONCAT(Sheet1!A23, " (",Sheet1!H23,")")</f>
        <v>Amy (Scrum Master)</v>
      </c>
      <c r="C23" s="9">
        <f>SUM(Sheet1!D23:G23)</f>
        <v>20493.810000000001</v>
      </c>
      <c r="D23" s="9">
        <f>AVERAGE(Sheet1!D23:G23)</f>
        <v>5123.4525000000003</v>
      </c>
      <c r="E23" s="9">
        <f>MEDIAN(Sheet1!D23:F23,Sheet1!G23)</f>
        <v>5027.5650000000005</v>
      </c>
      <c r="F23" s="10">
        <f>STDEV(Sheet1!D23:G23)</f>
        <v>547.97091007795893</v>
      </c>
      <c r="G23" s="9">
        <f>PRODUCT(Sheet1!D23,Sheet1!F23:G23)</f>
        <v>147458259612.07111</v>
      </c>
      <c r="H23" s="9" t="str">
        <f t="shared" si="0"/>
        <v>Not Approved</v>
      </c>
    </row>
    <row r="24" spans="1:8" x14ac:dyDescent="0.3">
      <c r="A24" s="8" t="str">
        <f>_xlfn.CONCAT(Sheet1!A24," ",Sheet1!B24)</f>
        <v>Matthew Garza</v>
      </c>
      <c r="B24" s="9" t="str">
        <f>_xlfn.CONCAT(Sheet1!A24, " (",Sheet1!H24,")")</f>
        <v>Matthew (Software Engineer)</v>
      </c>
      <c r="C24" s="9">
        <f>SUM(Sheet1!D24:G24)</f>
        <v>16724.97</v>
      </c>
      <c r="D24" s="9">
        <f>AVERAGE(Sheet1!D24:G24)</f>
        <v>4181.2425000000003</v>
      </c>
      <c r="E24" s="9">
        <f>MEDIAN(Sheet1!D24:F24,Sheet1!G24)</f>
        <v>4479.17</v>
      </c>
      <c r="F24" s="10">
        <f>STDEV(Sheet1!D24:G24)</f>
        <v>733.65308156625622</v>
      </c>
      <c r="G24" s="9">
        <f>PRODUCT(Sheet1!D24,Sheet1!F24:G24)</f>
        <v>93739035957.534073</v>
      </c>
      <c r="H24" s="9" t="str">
        <f t="shared" si="0"/>
        <v>Approved</v>
      </c>
    </row>
    <row r="25" spans="1:8" x14ac:dyDescent="0.3">
      <c r="A25" s="8" t="str">
        <f>_xlfn.CONCAT(Sheet1!A25," ",Sheet1!B25)</f>
        <v>Theodore Wright</v>
      </c>
      <c r="B25" s="9" t="str">
        <f>_xlfn.CONCAT(Sheet1!A25, " (",Sheet1!H25,")")</f>
        <v>Theodore (Frontend Developer)</v>
      </c>
      <c r="C25" s="9">
        <f>SUM(Sheet1!D25:G25)</f>
        <v>21774.05</v>
      </c>
      <c r="D25" s="9">
        <f>AVERAGE(Sheet1!D25:G25)</f>
        <v>5443.5124999999998</v>
      </c>
      <c r="E25" s="9">
        <f>MEDIAN(Sheet1!D25:F25,Sheet1!G25)</f>
        <v>5295.75</v>
      </c>
      <c r="F25" s="10">
        <f>STDEV(Sheet1!D25:G25)</f>
        <v>1384.0697617864726</v>
      </c>
      <c r="G25" s="9">
        <f>PRODUCT(Sheet1!D25,Sheet1!F25:G25)</f>
        <v>126773526660.61113</v>
      </c>
      <c r="H25" s="9" t="str">
        <f t="shared" si="0"/>
        <v>Not Approved</v>
      </c>
    </row>
    <row r="26" spans="1:8" x14ac:dyDescent="0.3">
      <c r="A26" s="8" t="str">
        <f>_xlfn.CONCAT(Sheet1!A26," ",Sheet1!B26)</f>
        <v>Kayla West</v>
      </c>
      <c r="B26" s="9" t="str">
        <f>_xlfn.CONCAT(Sheet1!A26, " (",Sheet1!H26,")")</f>
        <v>Kayla (Mobile App Developer)</v>
      </c>
      <c r="C26" s="9">
        <f>SUM(Sheet1!D26:G26)</f>
        <v>14105.11</v>
      </c>
      <c r="D26" s="9">
        <f>AVERAGE(Sheet1!D26:G26)</f>
        <v>3526.2775000000001</v>
      </c>
      <c r="E26" s="9">
        <f>MEDIAN(Sheet1!D26:F26,Sheet1!G26)</f>
        <v>3577.7</v>
      </c>
      <c r="F26" s="10">
        <f>STDEV(Sheet1!D26:G26)</f>
        <v>374.17851651985598</v>
      </c>
      <c r="G26" s="9">
        <f>PRODUCT(Sheet1!D26,Sheet1!F26:G26)</f>
        <v>49787488719.748901</v>
      </c>
      <c r="H26" s="9" t="str">
        <f t="shared" si="0"/>
        <v>Approved</v>
      </c>
    </row>
    <row r="27" spans="1:8" x14ac:dyDescent="0.3">
      <c r="A27" s="8" t="str">
        <f>_xlfn.CONCAT(Sheet1!A27," ",Sheet1!B27)</f>
        <v>Jesse Carter</v>
      </c>
      <c r="B27" s="9" t="str">
        <f>_xlfn.CONCAT(Sheet1!A27, " (",Sheet1!H27,")")</f>
        <v>Jesse (QA Engineer)</v>
      </c>
      <c r="C27" s="9">
        <f>SUM(Sheet1!D27:G27)</f>
        <v>20233.919999999998</v>
      </c>
      <c r="D27" s="9">
        <f>AVERAGE(Sheet1!D27:G27)</f>
        <v>5058.4799999999996</v>
      </c>
      <c r="E27" s="9">
        <f>MEDIAN(Sheet1!D27:F27,Sheet1!G27)</f>
        <v>5011.4549999999999</v>
      </c>
      <c r="F27" s="10">
        <f>STDEV(Sheet1!D27:G27)</f>
        <v>1304.2718354954509</v>
      </c>
      <c r="G27" s="9">
        <f>PRODUCT(Sheet1!D27,Sheet1!F27:G27)</f>
        <v>112902533972.24257</v>
      </c>
      <c r="H27" s="9" t="str">
        <f t="shared" si="0"/>
        <v>Not Approved</v>
      </c>
    </row>
    <row r="28" spans="1:8" x14ac:dyDescent="0.3">
      <c r="A28" s="8" t="str">
        <f>_xlfn.CONCAT(Sheet1!A28," ",Sheet1!B28)</f>
        <v>Carlos Vega</v>
      </c>
      <c r="B28" s="9" t="str">
        <f>_xlfn.CONCAT(Sheet1!A28, " (",Sheet1!H28,")")</f>
        <v>Carlos (Technical Support)</v>
      </c>
      <c r="C28" s="9">
        <f>SUM(Sheet1!D28:G28)</f>
        <v>17441.5</v>
      </c>
      <c r="D28" s="9">
        <f>AVERAGE(Sheet1!D28:G28)</f>
        <v>4360.375</v>
      </c>
      <c r="E28" s="9">
        <f>MEDIAN(Sheet1!D28:F28,Sheet1!G28)</f>
        <v>4136.25</v>
      </c>
      <c r="F28" s="10">
        <f>STDEV(Sheet1!D28:G28)</f>
        <v>855.06618958222452</v>
      </c>
      <c r="G28" s="9">
        <f>PRODUCT(Sheet1!D28,Sheet1!F28:G28)</f>
        <v>94430736121.629593</v>
      </c>
      <c r="H28" s="9" t="str">
        <f t="shared" si="0"/>
        <v>Not Approved</v>
      </c>
    </row>
    <row r="29" spans="1:8" x14ac:dyDescent="0.3">
      <c r="A29" s="8" t="str">
        <f>_xlfn.CONCAT(Sheet1!A29," ",Sheet1!B29)</f>
        <v>Bridget Keith</v>
      </c>
      <c r="B29" s="9" t="str">
        <f>_xlfn.CONCAT(Sheet1!A29, " (",Sheet1!H29,")")</f>
        <v>Bridget (UI/UX Designer)</v>
      </c>
      <c r="C29" s="9">
        <f>SUM(Sheet1!D29:G29)</f>
        <v>18843.07</v>
      </c>
      <c r="D29" s="9">
        <f>AVERAGE(Sheet1!D29:G29)</f>
        <v>4710.7674999999999</v>
      </c>
      <c r="E29" s="9">
        <f>MEDIAN(Sheet1!D29:F29,Sheet1!G29)</f>
        <v>4224.9949999999999</v>
      </c>
      <c r="F29" s="10">
        <f>STDEV(Sheet1!D29:G29)</f>
        <v>1519.7799713856623</v>
      </c>
      <c r="G29" s="9">
        <f>PRODUCT(Sheet1!D29,Sheet1!F29:G29)</f>
        <v>92860492703.391556</v>
      </c>
      <c r="H29" s="9" t="str">
        <f t="shared" si="0"/>
        <v>Not Approved</v>
      </c>
    </row>
    <row r="30" spans="1:8" x14ac:dyDescent="0.3">
      <c r="A30" s="8" t="str">
        <f>_xlfn.CONCAT(Sheet1!A30," ",Sheet1!B30)</f>
        <v>William Duncan</v>
      </c>
      <c r="B30" s="9" t="str">
        <f>_xlfn.CONCAT(Sheet1!A30, " (",Sheet1!H30,")")</f>
        <v>William (Security Analyst)</v>
      </c>
      <c r="C30" s="9">
        <f>SUM(Sheet1!D30:G30)</f>
        <v>18384.02</v>
      </c>
      <c r="D30" s="9">
        <f>AVERAGE(Sheet1!D30:G30)</f>
        <v>4596.0050000000001</v>
      </c>
      <c r="E30" s="9">
        <f>MEDIAN(Sheet1!D30:F30,Sheet1!G30)</f>
        <v>4342.2350000000006</v>
      </c>
      <c r="F30" s="10">
        <f>STDEV(Sheet1!D30:G30)</f>
        <v>1538.4899608923899</v>
      </c>
      <c r="G30" s="9">
        <f>PRODUCT(Sheet1!D30,Sheet1!F30:G30)</f>
        <v>70240152244.86557</v>
      </c>
      <c r="H30" s="9" t="str">
        <f t="shared" si="0"/>
        <v>Not Approved</v>
      </c>
    </row>
    <row r="31" spans="1:8" x14ac:dyDescent="0.3">
      <c r="A31" s="8" t="str">
        <f>_xlfn.CONCAT(Sheet1!A31," ",Sheet1!B31)</f>
        <v>John Hernandez</v>
      </c>
      <c r="B31" s="9" t="str">
        <f>_xlfn.CONCAT(Sheet1!A31, " (",Sheet1!H31,")")</f>
        <v>John (UI/UX Designer)</v>
      </c>
      <c r="C31" s="9">
        <f>SUM(Sheet1!D31:G31)</f>
        <v>15916.75</v>
      </c>
      <c r="D31" s="9">
        <f>AVERAGE(Sheet1!D31:G31)</f>
        <v>3979.1875</v>
      </c>
      <c r="E31" s="9">
        <f>MEDIAN(Sheet1!D31:F31,Sheet1!G31)</f>
        <v>4064.09</v>
      </c>
      <c r="F31" s="10">
        <f>STDEV(Sheet1!D31:G31)</f>
        <v>706.83200726316159</v>
      </c>
      <c r="G31" s="9">
        <f>PRODUCT(Sheet1!D31,Sheet1!F31:G31)</f>
        <v>50275890927.047287</v>
      </c>
      <c r="H31" s="9" t="str">
        <f t="shared" si="0"/>
        <v>Approved</v>
      </c>
    </row>
    <row r="32" spans="1:8" x14ac:dyDescent="0.3">
      <c r="A32" s="8" t="str">
        <f>_xlfn.CONCAT(Sheet1!A32," ",Sheet1!B32)</f>
        <v>Jesse Murray</v>
      </c>
      <c r="B32" s="9" t="str">
        <f>_xlfn.CONCAT(Sheet1!A32, " (",Sheet1!H32,")")</f>
        <v>Jesse (Security Analyst)</v>
      </c>
      <c r="C32" s="9">
        <f>SUM(Sheet1!D32:G32)</f>
        <v>18740.980000000003</v>
      </c>
      <c r="D32" s="9">
        <f>AVERAGE(Sheet1!D32:G32)</f>
        <v>4685.2450000000008</v>
      </c>
      <c r="E32" s="9">
        <f>MEDIAN(Sheet1!D32:F32,Sheet1!G32)</f>
        <v>4510.5300000000007</v>
      </c>
      <c r="F32" s="10">
        <f>STDEV(Sheet1!D32:G32)</f>
        <v>1679.5520275259892</v>
      </c>
      <c r="G32" s="9">
        <f>PRODUCT(Sheet1!D32,Sheet1!F32:G32)</f>
        <v>111367491422.6749</v>
      </c>
      <c r="H32" s="9" t="str">
        <f t="shared" si="0"/>
        <v>Not Approved</v>
      </c>
    </row>
    <row r="33" spans="1:8" x14ac:dyDescent="0.3">
      <c r="A33" s="8" t="str">
        <f>_xlfn.CONCAT(Sheet1!A33," ",Sheet1!B33)</f>
        <v>Stephen Haynes</v>
      </c>
      <c r="B33" s="9" t="str">
        <f>_xlfn.CONCAT(Sheet1!A33, " (",Sheet1!H33,")")</f>
        <v>Stephen (Technical Support)</v>
      </c>
      <c r="C33" s="9">
        <f>SUM(Sheet1!D33:G33)</f>
        <v>20347.879999999997</v>
      </c>
      <c r="D33" s="9">
        <f>AVERAGE(Sheet1!D33:G33)</f>
        <v>5086.9699999999993</v>
      </c>
      <c r="E33" s="9">
        <f>MEDIAN(Sheet1!D33:F33,Sheet1!G33)</f>
        <v>5137.9650000000001</v>
      </c>
      <c r="F33" s="10">
        <f>STDEV(Sheet1!D33:G33)</f>
        <v>2070.2973758536878</v>
      </c>
      <c r="G33" s="9">
        <f>PRODUCT(Sheet1!D33,Sheet1!F33:G33)</f>
        <v>76005189473.290848</v>
      </c>
      <c r="H33" s="9" t="str">
        <f t="shared" si="0"/>
        <v>Approved</v>
      </c>
    </row>
    <row r="34" spans="1:8" x14ac:dyDescent="0.3">
      <c r="A34" s="8" t="str">
        <f>_xlfn.CONCAT(Sheet1!A34," ",Sheet1!B34)</f>
        <v>Samuel Smith</v>
      </c>
      <c r="B34" s="9" t="str">
        <f>_xlfn.CONCAT(Sheet1!A34, " (",Sheet1!H34,")")</f>
        <v>Samuel (System Administrator)</v>
      </c>
      <c r="C34" s="9">
        <f>SUM(Sheet1!D34:G34)</f>
        <v>18052.490000000002</v>
      </c>
      <c r="D34" s="9">
        <f>AVERAGE(Sheet1!D34:G34)</f>
        <v>4513.1225000000004</v>
      </c>
      <c r="E34" s="9">
        <f>MEDIAN(Sheet1!D34:F34,Sheet1!G34)</f>
        <v>4648.24</v>
      </c>
      <c r="F34" s="10">
        <f>STDEV(Sheet1!D34:G34)</f>
        <v>1069.434287785677</v>
      </c>
      <c r="G34" s="9">
        <f>PRODUCT(Sheet1!D34,Sheet1!F34:G34)</f>
        <v>68690336616.366364</v>
      </c>
      <c r="H34" s="9" t="str">
        <f t="shared" si="0"/>
        <v>Approved</v>
      </c>
    </row>
    <row r="35" spans="1:8" x14ac:dyDescent="0.3">
      <c r="A35" s="8" t="str">
        <f>_xlfn.CONCAT(Sheet1!A35," ",Sheet1!B35)</f>
        <v>Russell Moore</v>
      </c>
      <c r="B35" s="9" t="str">
        <f>_xlfn.CONCAT(Sheet1!A35, " (",Sheet1!H35,")")</f>
        <v>Russell (Full Stack Developer)</v>
      </c>
      <c r="C35" s="9">
        <f>SUM(Sheet1!D35:G35)</f>
        <v>18526.12</v>
      </c>
      <c r="D35" s="9">
        <f>AVERAGE(Sheet1!D35:G35)</f>
        <v>4631.53</v>
      </c>
      <c r="E35" s="9">
        <f>MEDIAN(Sheet1!D35:F35,Sheet1!G35)</f>
        <v>4393.3999999999996</v>
      </c>
      <c r="F35" s="10">
        <f>STDEV(Sheet1!D35:G35)</f>
        <v>1087.8079752725971</v>
      </c>
      <c r="G35" s="9">
        <f>PRODUCT(Sheet1!D35,Sheet1!F35:G35)</f>
        <v>85087773454.95694</v>
      </c>
      <c r="H35" s="9" t="str">
        <f t="shared" si="0"/>
        <v>Not Approved</v>
      </c>
    </row>
    <row r="36" spans="1:8" x14ac:dyDescent="0.3">
      <c r="A36" s="8" t="str">
        <f>_xlfn.CONCAT(Sheet1!A36," ",Sheet1!B36)</f>
        <v>Brenda Delgado</v>
      </c>
      <c r="B36" s="9" t="str">
        <f>_xlfn.CONCAT(Sheet1!A36, " (",Sheet1!H36,")")</f>
        <v>Brenda (Business Analyst)</v>
      </c>
      <c r="C36" s="9">
        <f>SUM(Sheet1!D36:G36)</f>
        <v>17212.75</v>
      </c>
      <c r="D36" s="9">
        <f>AVERAGE(Sheet1!D36:G36)</f>
        <v>4303.1875</v>
      </c>
      <c r="E36" s="9">
        <f>MEDIAN(Sheet1!D36:F36,Sheet1!G36)</f>
        <v>4527.6350000000002</v>
      </c>
      <c r="F36" s="10">
        <f>STDEV(Sheet1!D36:G36)</f>
        <v>861.28250074622201</v>
      </c>
      <c r="G36" s="9">
        <f>PRODUCT(Sheet1!D36,Sheet1!F36:G36)</f>
        <v>103003129353.65613</v>
      </c>
      <c r="H36" s="9" t="str">
        <f t="shared" si="0"/>
        <v>Approved</v>
      </c>
    </row>
    <row r="37" spans="1:8" x14ac:dyDescent="0.3">
      <c r="A37" s="8" t="str">
        <f>_xlfn.CONCAT(Sheet1!A37," ",Sheet1!B37)</f>
        <v>Lindsey Kline</v>
      </c>
      <c r="B37" s="9" t="str">
        <f>_xlfn.CONCAT(Sheet1!A37, " (",Sheet1!H37,")")</f>
        <v>Lindsey (Scrum Master)</v>
      </c>
      <c r="C37" s="9">
        <f>SUM(Sheet1!D37:G37)</f>
        <v>18057.39</v>
      </c>
      <c r="D37" s="9">
        <f>AVERAGE(Sheet1!D37:G37)</f>
        <v>4514.3474999999999</v>
      </c>
      <c r="E37" s="9">
        <f>MEDIAN(Sheet1!D37:F37,Sheet1!G37)</f>
        <v>4124.8950000000004</v>
      </c>
      <c r="F37" s="10">
        <f>STDEV(Sheet1!D37:G37)</f>
        <v>1695.1464024556487</v>
      </c>
      <c r="G37" s="9">
        <f>PRODUCT(Sheet1!D37,Sheet1!F37:G37)</f>
        <v>104296013508.78088</v>
      </c>
      <c r="H37" s="9" t="str">
        <f t="shared" si="0"/>
        <v>Not Approved</v>
      </c>
    </row>
    <row r="38" spans="1:8" x14ac:dyDescent="0.3">
      <c r="A38" s="8" t="str">
        <f>_xlfn.CONCAT(Sheet1!A38," ",Sheet1!B38)</f>
        <v>Shelia Sanchez</v>
      </c>
      <c r="B38" s="9" t="str">
        <f>_xlfn.CONCAT(Sheet1!A38, " (",Sheet1!H38,")")</f>
        <v>Shelia (Software Engineer)</v>
      </c>
      <c r="C38" s="9">
        <f>SUM(Sheet1!D38:G38)</f>
        <v>20384.18</v>
      </c>
      <c r="D38" s="9">
        <f>AVERAGE(Sheet1!D38:G38)</f>
        <v>5096.0450000000001</v>
      </c>
      <c r="E38" s="9">
        <f>MEDIAN(Sheet1!D38:F38,Sheet1!G38)</f>
        <v>4864.1549999999997</v>
      </c>
      <c r="F38" s="10">
        <f>STDEV(Sheet1!D38:G38)</f>
        <v>1540.3343826260568</v>
      </c>
      <c r="G38" s="9">
        <f>PRODUCT(Sheet1!D38,Sheet1!F38:G38)</f>
        <v>100175530665.01782</v>
      </c>
      <c r="H38" s="9" t="str">
        <f t="shared" si="0"/>
        <v>Not Approved</v>
      </c>
    </row>
    <row r="39" spans="1:8" x14ac:dyDescent="0.3">
      <c r="A39" s="8" t="str">
        <f>_xlfn.CONCAT(Sheet1!A39," ",Sheet1!B39)</f>
        <v>Holly Christensen</v>
      </c>
      <c r="B39" s="9" t="str">
        <f>_xlfn.CONCAT(Sheet1!A39, " (",Sheet1!H39,")")</f>
        <v>Holly (Technical Support)</v>
      </c>
      <c r="C39" s="9">
        <f>SUM(Sheet1!D39:G39)</f>
        <v>21184.25</v>
      </c>
      <c r="D39" s="9">
        <f>AVERAGE(Sheet1!D39:G39)</f>
        <v>5296.0625</v>
      </c>
      <c r="E39" s="9">
        <f>MEDIAN(Sheet1!D39:F39,Sheet1!G39)</f>
        <v>5232</v>
      </c>
      <c r="F39" s="10">
        <f>STDEV(Sheet1!D39:G39)</f>
        <v>1067.8809072605738</v>
      </c>
      <c r="G39" s="9">
        <f>PRODUCT(Sheet1!D39,Sheet1!F39:G39)</f>
        <v>181642058416.75967</v>
      </c>
      <c r="H39" s="9" t="str">
        <f t="shared" si="0"/>
        <v>Not Approved</v>
      </c>
    </row>
    <row r="40" spans="1:8" x14ac:dyDescent="0.3">
      <c r="A40" s="8" t="str">
        <f>_xlfn.CONCAT(Sheet1!A40," ",Sheet1!B40)</f>
        <v>Jason Johnson</v>
      </c>
      <c r="B40" s="9" t="str">
        <f>_xlfn.CONCAT(Sheet1!A40, " (",Sheet1!H40,")")</f>
        <v>Jason (Frontend Developer)</v>
      </c>
      <c r="C40" s="9">
        <f>SUM(Sheet1!D40:G40)</f>
        <v>19594.850000000002</v>
      </c>
      <c r="D40" s="9">
        <f>AVERAGE(Sheet1!D40:G40)</f>
        <v>4898.7125000000005</v>
      </c>
      <c r="E40" s="9">
        <f>MEDIAN(Sheet1!D40:F40,Sheet1!G40)</f>
        <v>4757.7700000000004</v>
      </c>
      <c r="F40" s="10">
        <f>STDEV(Sheet1!D40:G40)</f>
        <v>748.48175080736246</v>
      </c>
      <c r="G40" s="9">
        <f>PRODUCT(Sheet1!D40,Sheet1!F40:G40)</f>
        <v>95383513583.054611</v>
      </c>
      <c r="H40" s="9" t="str">
        <f t="shared" si="0"/>
        <v>Not Approved</v>
      </c>
    </row>
    <row r="41" spans="1:8" x14ac:dyDescent="0.3">
      <c r="A41" s="8" t="str">
        <f>_xlfn.CONCAT(Sheet1!A41," ",Sheet1!B41)</f>
        <v>Melissa Garcia</v>
      </c>
      <c r="B41" s="9" t="str">
        <f>_xlfn.CONCAT(Sheet1!A41, " (",Sheet1!H41,")")</f>
        <v>Melissa (Frontend Developer)</v>
      </c>
      <c r="C41" s="9">
        <f>SUM(Sheet1!D41:G41)</f>
        <v>18702.18</v>
      </c>
      <c r="D41" s="9">
        <f>AVERAGE(Sheet1!D41:G41)</f>
        <v>4675.5450000000001</v>
      </c>
      <c r="E41" s="9">
        <f>MEDIAN(Sheet1!D41:F41,Sheet1!G41)</f>
        <v>4616.6750000000002</v>
      </c>
      <c r="F41" s="10">
        <f>STDEV(Sheet1!D41:G41)</f>
        <v>1006.9539666571977</v>
      </c>
      <c r="G41" s="9">
        <f>PRODUCT(Sheet1!D41,Sheet1!F41:G41)</f>
        <v>115557249581.30246</v>
      </c>
      <c r="H41" s="9" t="str">
        <f t="shared" si="0"/>
        <v>Not Approved</v>
      </c>
    </row>
    <row r="42" spans="1:8" x14ac:dyDescent="0.3">
      <c r="A42" s="8" t="str">
        <f>_xlfn.CONCAT(Sheet1!A42," ",Sheet1!B42)</f>
        <v>Amanda Hayes</v>
      </c>
      <c r="B42" s="9" t="str">
        <f>_xlfn.CONCAT(Sheet1!A42, " (",Sheet1!H42,")")</f>
        <v>Amanda (Software Engineer)</v>
      </c>
      <c r="C42" s="9">
        <f>SUM(Sheet1!D42:G42)</f>
        <v>18176.54</v>
      </c>
      <c r="D42" s="9">
        <f>AVERAGE(Sheet1!D42:G42)</f>
        <v>4544.1350000000002</v>
      </c>
      <c r="E42" s="9">
        <f>MEDIAN(Sheet1!D42:F42,Sheet1!G42)</f>
        <v>4316.99</v>
      </c>
      <c r="F42" s="10">
        <f>STDEV(Sheet1!D42:G42)</f>
        <v>1045.0258708280862</v>
      </c>
      <c r="G42" s="9">
        <f>PRODUCT(Sheet1!D42,Sheet1!F42:G42)</f>
        <v>66134319202.563507</v>
      </c>
      <c r="H42" s="9" t="str">
        <f t="shared" si="0"/>
        <v>Not Approved</v>
      </c>
    </row>
    <row r="43" spans="1:8" x14ac:dyDescent="0.3">
      <c r="A43" s="8" t="str">
        <f>_xlfn.CONCAT(Sheet1!A43," ",Sheet1!B43)</f>
        <v>Abigail Wright</v>
      </c>
      <c r="B43" s="9" t="str">
        <f>_xlfn.CONCAT(Sheet1!A43, " (",Sheet1!H43,")")</f>
        <v>Abigail (Scrum Master)</v>
      </c>
      <c r="C43" s="9">
        <f>SUM(Sheet1!D43:G43)</f>
        <v>24252.629999999997</v>
      </c>
      <c r="D43" s="9">
        <f>AVERAGE(Sheet1!D43:G43)</f>
        <v>6063.1574999999993</v>
      </c>
      <c r="E43" s="9">
        <f>MEDIAN(Sheet1!D43:F43,Sheet1!G43)</f>
        <v>6148.6299999999992</v>
      </c>
      <c r="F43" s="10">
        <f>STDEV(Sheet1!D43:G43)</f>
        <v>538.28865009862488</v>
      </c>
      <c r="G43" s="9">
        <f>PRODUCT(Sheet1!D43,Sheet1!F43:G43)</f>
        <v>202739188049.12485</v>
      </c>
      <c r="H43" s="9" t="str">
        <f t="shared" si="0"/>
        <v>Approved</v>
      </c>
    </row>
    <row r="44" spans="1:8" x14ac:dyDescent="0.3">
      <c r="A44" s="8" t="str">
        <f>_xlfn.CONCAT(Sheet1!A44," ",Sheet1!B44)</f>
        <v>Deborah Warren</v>
      </c>
      <c r="B44" s="9" t="str">
        <f>_xlfn.CONCAT(Sheet1!A44, " (",Sheet1!H44,")")</f>
        <v>Deborah (Frontend Developer)</v>
      </c>
      <c r="C44" s="9">
        <f>SUM(Sheet1!D44:G44)</f>
        <v>21204.370000000003</v>
      </c>
      <c r="D44" s="9">
        <f>AVERAGE(Sheet1!D44:G44)</f>
        <v>5301.0925000000007</v>
      </c>
      <c r="E44" s="9">
        <f>MEDIAN(Sheet1!D44:F44,Sheet1!G44)</f>
        <v>5176.9400000000005</v>
      </c>
      <c r="F44" s="10">
        <f>STDEV(Sheet1!D44:G44)</f>
        <v>1203.3860243046106</v>
      </c>
      <c r="G44" s="9">
        <f>PRODUCT(Sheet1!D44,Sheet1!F44:G44)</f>
        <v>174873133677.57263</v>
      </c>
      <c r="H44" s="9" t="str">
        <f t="shared" si="0"/>
        <v>Not Approved</v>
      </c>
    </row>
    <row r="45" spans="1:8" x14ac:dyDescent="0.3">
      <c r="A45" s="8" t="str">
        <f>_xlfn.CONCAT(Sheet1!A45," ",Sheet1!B45)</f>
        <v>Megan Mullins</v>
      </c>
      <c r="B45" s="9" t="str">
        <f>_xlfn.CONCAT(Sheet1!A45, " (",Sheet1!H45,")")</f>
        <v>Megan (System Administrator)</v>
      </c>
      <c r="C45" s="9">
        <f>SUM(Sheet1!D45:G45)</f>
        <v>19659.090000000004</v>
      </c>
      <c r="D45" s="9">
        <f>AVERAGE(Sheet1!D45:G45)</f>
        <v>4914.7725000000009</v>
      </c>
      <c r="E45" s="9">
        <f>MEDIAN(Sheet1!D45:F45,Sheet1!G45)</f>
        <v>4765.6900000000005</v>
      </c>
      <c r="F45" s="10">
        <f>STDEV(Sheet1!D45:G45)</f>
        <v>1224.2083787867391</v>
      </c>
      <c r="G45" s="9">
        <f>PRODUCT(Sheet1!D45,Sheet1!F45:G45)</f>
        <v>106737019199.38828</v>
      </c>
      <c r="H45" s="9" t="str">
        <f t="shared" si="0"/>
        <v>Not Approved</v>
      </c>
    </row>
    <row r="46" spans="1:8" x14ac:dyDescent="0.3">
      <c r="A46" s="8" t="str">
        <f>_xlfn.CONCAT(Sheet1!A46," ",Sheet1!B46)</f>
        <v>Lynn Diaz</v>
      </c>
      <c r="B46" s="9" t="str">
        <f>_xlfn.CONCAT(Sheet1!A46, " (",Sheet1!H46,")")</f>
        <v>Lynn (Mobile App Developer)</v>
      </c>
      <c r="C46" s="9">
        <f>SUM(Sheet1!D46:G46)</f>
        <v>18686.379999999997</v>
      </c>
      <c r="D46" s="9">
        <f>AVERAGE(Sheet1!D46:G46)</f>
        <v>4671.5949999999993</v>
      </c>
      <c r="E46" s="9">
        <f>MEDIAN(Sheet1!D46:F46,Sheet1!G46)</f>
        <v>4463.1149999999998</v>
      </c>
      <c r="F46" s="10">
        <f>STDEV(Sheet1!D46:G46)</f>
        <v>1472.7776651506738</v>
      </c>
      <c r="G46" s="9">
        <f>PRODUCT(Sheet1!D46,Sheet1!F46:G46)</f>
        <v>128946644828.8494</v>
      </c>
      <c r="H46" s="9" t="str">
        <f t="shared" si="0"/>
        <v>Not Approved</v>
      </c>
    </row>
    <row r="47" spans="1:8" x14ac:dyDescent="0.3">
      <c r="A47" s="8" t="str">
        <f>_xlfn.CONCAT(Sheet1!A47," ",Sheet1!B47)</f>
        <v>Suzanne Robbins</v>
      </c>
      <c r="B47" s="9" t="str">
        <f>_xlfn.CONCAT(Sheet1!A47, " (",Sheet1!H47,")")</f>
        <v>Suzanne (Data Scientist)</v>
      </c>
      <c r="C47" s="9">
        <f>SUM(Sheet1!D47:G47)</f>
        <v>22555.739999999998</v>
      </c>
      <c r="D47" s="9">
        <f>AVERAGE(Sheet1!D47:G47)</f>
        <v>5638.9349999999995</v>
      </c>
      <c r="E47" s="9">
        <f>MEDIAN(Sheet1!D47:F47,Sheet1!G47)</f>
        <v>5605.87</v>
      </c>
      <c r="F47" s="10">
        <f>STDEV(Sheet1!D47:G47)</f>
        <v>466.24504962519467</v>
      </c>
      <c r="G47" s="9">
        <f>PRODUCT(Sheet1!D47,Sheet1!F47:G47)</f>
        <v>161034640803.93109</v>
      </c>
      <c r="H47" s="9" t="str">
        <f t="shared" si="0"/>
        <v>Not Approved</v>
      </c>
    </row>
    <row r="48" spans="1:8" x14ac:dyDescent="0.3">
      <c r="A48" s="8" t="str">
        <f>_xlfn.CONCAT(Sheet1!A48," ",Sheet1!B48)</f>
        <v>Michelle Goodman</v>
      </c>
      <c r="B48" s="9" t="str">
        <f>_xlfn.CONCAT(Sheet1!A48, " (",Sheet1!H48,")")</f>
        <v>Michelle (System Administrator)</v>
      </c>
      <c r="C48" s="9">
        <f>SUM(Sheet1!D48:G48)</f>
        <v>23021.87</v>
      </c>
      <c r="D48" s="9">
        <f>AVERAGE(Sheet1!D48:G48)</f>
        <v>5755.4674999999997</v>
      </c>
      <c r="E48" s="9">
        <f>MEDIAN(Sheet1!D48:F48,Sheet1!G48)</f>
        <v>6104.77</v>
      </c>
      <c r="F48" s="10">
        <f>STDEV(Sheet1!D48:G48)</f>
        <v>1245.4776305598587</v>
      </c>
      <c r="G48" s="9">
        <f>PRODUCT(Sheet1!D48,Sheet1!F48:G48)</f>
        <v>249717821655.48135</v>
      </c>
      <c r="H48" s="9" t="str">
        <f t="shared" si="0"/>
        <v>Approved</v>
      </c>
    </row>
    <row r="49" spans="1:8" x14ac:dyDescent="0.3">
      <c r="A49" s="8" t="str">
        <f>_xlfn.CONCAT(Sheet1!A49," ",Sheet1!B49)</f>
        <v>Elizabeth Richards</v>
      </c>
      <c r="B49" s="9" t="str">
        <f>_xlfn.CONCAT(Sheet1!A49, " (",Sheet1!H49,")")</f>
        <v>Elizabeth (Mobile App Developer)</v>
      </c>
      <c r="C49" s="9">
        <f>SUM(Sheet1!D49:G49)</f>
        <v>19871.43</v>
      </c>
      <c r="D49" s="9">
        <f>AVERAGE(Sheet1!D49:G49)</f>
        <v>4967.8575000000001</v>
      </c>
      <c r="E49" s="9">
        <f>MEDIAN(Sheet1!D49:F49,Sheet1!G49)</f>
        <v>4922.0349999999999</v>
      </c>
      <c r="F49" s="10">
        <f>STDEV(Sheet1!D49:G49)</f>
        <v>1805.9322798557537</v>
      </c>
      <c r="G49" s="9">
        <f>PRODUCT(Sheet1!D49,Sheet1!F49:G49)</f>
        <v>77273871180.187515</v>
      </c>
      <c r="H49" s="9" t="str">
        <f t="shared" si="0"/>
        <v>Not Approved</v>
      </c>
    </row>
    <row r="50" spans="1:8" x14ac:dyDescent="0.3">
      <c r="A50" s="8" t="str">
        <f>_xlfn.CONCAT(Sheet1!A50," ",Sheet1!B50)</f>
        <v>Jeffrey Miller</v>
      </c>
      <c r="B50" s="9" t="str">
        <f>_xlfn.CONCAT(Sheet1!A50, " (",Sheet1!H50,")")</f>
        <v>Jeffrey (QA Engineer)</v>
      </c>
      <c r="C50" s="9">
        <f>SUM(Sheet1!D50:G50)</f>
        <v>16669.78</v>
      </c>
      <c r="D50" s="9">
        <f>AVERAGE(Sheet1!D50:G50)</f>
        <v>4167.4449999999997</v>
      </c>
      <c r="E50" s="9">
        <f>MEDIAN(Sheet1!D50:F50,Sheet1!G50)</f>
        <v>4459.125</v>
      </c>
      <c r="F50" s="10">
        <f>STDEV(Sheet1!D50:G50)</f>
        <v>662.541268676909</v>
      </c>
      <c r="G50" s="9">
        <f>PRODUCT(Sheet1!D50,Sheet1!F50:G50)</f>
        <v>90952122667.10614</v>
      </c>
      <c r="H50" s="9" t="str">
        <f t="shared" si="0"/>
        <v>Approved</v>
      </c>
    </row>
    <row r="51" spans="1:8" x14ac:dyDescent="0.3">
      <c r="A51" s="8" t="str">
        <f>_xlfn.CONCAT(Sheet1!A51," ",Sheet1!B51)</f>
        <v>Catherine Welch</v>
      </c>
      <c r="B51" s="9" t="str">
        <f>_xlfn.CONCAT(Sheet1!A51, " (",Sheet1!H51,")")</f>
        <v>Catherine (Product Manager)</v>
      </c>
      <c r="C51" s="9">
        <f>SUM(Sheet1!D51:G51)</f>
        <v>21733.079999999998</v>
      </c>
      <c r="D51" s="9">
        <f>AVERAGE(Sheet1!D51:G51)</f>
        <v>5433.2699999999995</v>
      </c>
      <c r="E51" s="9">
        <f>MEDIAN(Sheet1!D51:F51,Sheet1!G51)</f>
        <v>5708.68</v>
      </c>
      <c r="F51" s="10">
        <f>STDEV(Sheet1!D51:G51)</f>
        <v>1404.8083472369722</v>
      </c>
      <c r="G51" s="9">
        <f>PRODUCT(Sheet1!D51,Sheet1!F51:G51)</f>
        <v>214977580537.83859</v>
      </c>
      <c r="H51" s="9" t="str">
        <f t="shared" si="0"/>
        <v>Approved</v>
      </c>
    </row>
    <row r="52" spans="1:8" x14ac:dyDescent="0.3">
      <c r="A52" s="8" t="str">
        <f>_xlfn.CONCAT(Sheet1!A52," ",Sheet1!B52)</f>
        <v>Nicholas Nelson</v>
      </c>
      <c r="B52" s="9" t="str">
        <f>_xlfn.CONCAT(Sheet1!A52, " (",Sheet1!H52,")")</f>
        <v>Nicholas (DevOps Engineer)</v>
      </c>
      <c r="C52" s="9">
        <f>SUM(Sheet1!D52:G52)</f>
        <v>20662.669999999998</v>
      </c>
      <c r="D52" s="9">
        <f>AVERAGE(Sheet1!D52:G52)</f>
        <v>5165.6674999999996</v>
      </c>
      <c r="E52" s="9">
        <f>MEDIAN(Sheet1!D52:F52,Sheet1!G52)</f>
        <v>4970.2999999999993</v>
      </c>
      <c r="F52" s="10">
        <f>STDEV(Sheet1!D52:G52)</f>
        <v>1270.4741508947243</v>
      </c>
      <c r="G52" s="9">
        <f>PRODUCT(Sheet1!D52,Sheet1!F52:G52)</f>
        <v>120864070328.31143</v>
      </c>
      <c r="H52" s="9" t="str">
        <f t="shared" si="0"/>
        <v>Not Approved</v>
      </c>
    </row>
    <row r="53" spans="1:8" x14ac:dyDescent="0.3">
      <c r="A53" s="8" t="str">
        <f>_xlfn.CONCAT(Sheet1!A53," ",Sheet1!B53)</f>
        <v>James Diaz</v>
      </c>
      <c r="B53" s="9" t="str">
        <f>_xlfn.CONCAT(Sheet1!A53, " (",Sheet1!H53,")")</f>
        <v>James (Data Scientist)</v>
      </c>
      <c r="C53" s="9">
        <f>SUM(Sheet1!D53:G53)</f>
        <v>22507.42</v>
      </c>
      <c r="D53" s="9">
        <f>AVERAGE(Sheet1!D53:G53)</f>
        <v>5626.8549999999996</v>
      </c>
      <c r="E53" s="9">
        <f>MEDIAN(Sheet1!D53:F53,Sheet1!G53)</f>
        <v>5606.3249999999998</v>
      </c>
      <c r="F53" s="10">
        <f>STDEV(Sheet1!D53:G53)</f>
        <v>1198.1333971501972</v>
      </c>
      <c r="G53" s="9">
        <f>PRODUCT(Sheet1!D53,Sheet1!F53:G53)</f>
        <v>214333731457.7637</v>
      </c>
      <c r="H53" s="9" t="str">
        <f t="shared" si="0"/>
        <v>Not Approved</v>
      </c>
    </row>
    <row r="54" spans="1:8" x14ac:dyDescent="0.3">
      <c r="A54" s="8" t="str">
        <f>_xlfn.CONCAT(Sheet1!A54," ",Sheet1!B54)</f>
        <v>Lori Evans</v>
      </c>
      <c r="B54" s="9" t="str">
        <f>_xlfn.CONCAT(Sheet1!A54, " (",Sheet1!H54,")")</f>
        <v>Lori (Technical Support)</v>
      </c>
      <c r="C54" s="9">
        <f>SUM(Sheet1!D54:G54)</f>
        <v>19224.239999999998</v>
      </c>
      <c r="D54" s="9">
        <f>AVERAGE(Sheet1!D54:G54)</f>
        <v>4806.0599999999995</v>
      </c>
      <c r="E54" s="9">
        <f>MEDIAN(Sheet1!D54:F54,Sheet1!G54)</f>
        <v>4594.3999999999996</v>
      </c>
      <c r="F54" s="10">
        <f>STDEV(Sheet1!D54:G54)</f>
        <v>1043.4307881535187</v>
      </c>
      <c r="G54" s="9">
        <f>PRODUCT(Sheet1!D54,Sheet1!F54:G54)</f>
        <v>79763929709.800705</v>
      </c>
      <c r="H54" s="9" t="str">
        <f t="shared" si="0"/>
        <v>Not Approved</v>
      </c>
    </row>
    <row r="55" spans="1:8" x14ac:dyDescent="0.3">
      <c r="A55" s="8" t="str">
        <f>_xlfn.CONCAT(Sheet1!A55," ",Sheet1!B55)</f>
        <v>Zachary Lopez</v>
      </c>
      <c r="B55" s="9" t="str">
        <f>_xlfn.CONCAT(Sheet1!A55, " (",Sheet1!H55,")")</f>
        <v>Zachary (System Administrator)</v>
      </c>
      <c r="C55" s="9">
        <f>SUM(Sheet1!D55:G55)</f>
        <v>23228.14</v>
      </c>
      <c r="D55" s="9">
        <f>AVERAGE(Sheet1!D55:G55)</f>
        <v>5807.0349999999999</v>
      </c>
      <c r="E55" s="9">
        <f>MEDIAN(Sheet1!D55:F55,Sheet1!G55)</f>
        <v>5764.0450000000001</v>
      </c>
      <c r="F55" s="10">
        <f>STDEV(Sheet1!D55:G55)</f>
        <v>561.05101458482966</v>
      </c>
      <c r="G55" s="9">
        <f>PRODUCT(Sheet1!D55,Sheet1!F55:G55)</f>
        <v>213121017852.15479</v>
      </c>
      <c r="H55" s="9" t="str">
        <f t="shared" si="0"/>
        <v>Not Approved</v>
      </c>
    </row>
    <row r="56" spans="1:8" x14ac:dyDescent="0.3">
      <c r="A56" s="8" t="str">
        <f>_xlfn.CONCAT(Sheet1!A56," ",Sheet1!B56)</f>
        <v>Michael Gray</v>
      </c>
      <c r="B56" s="9" t="str">
        <f>_xlfn.CONCAT(Sheet1!A56, " (",Sheet1!H56,")")</f>
        <v>Michael (Full Stack Developer)</v>
      </c>
      <c r="C56" s="9">
        <f>SUM(Sheet1!D56:G56)</f>
        <v>21206.22</v>
      </c>
      <c r="D56" s="9">
        <f>AVERAGE(Sheet1!D56:G56)</f>
        <v>5301.5550000000003</v>
      </c>
      <c r="E56" s="9">
        <f>MEDIAN(Sheet1!D56:F56,Sheet1!G56)</f>
        <v>5829.6749999999993</v>
      </c>
      <c r="F56" s="10">
        <f>STDEV(Sheet1!D56:G56)</f>
        <v>1559.00287296079</v>
      </c>
      <c r="G56" s="9">
        <f>PRODUCT(Sheet1!D56,Sheet1!F56:G56)</f>
        <v>102897099516.02682</v>
      </c>
      <c r="H56" s="9" t="str">
        <f t="shared" si="0"/>
        <v>Approved</v>
      </c>
    </row>
    <row r="57" spans="1:8" x14ac:dyDescent="0.3">
      <c r="A57" s="8" t="str">
        <f>_xlfn.CONCAT(Sheet1!A57," ",Sheet1!B57)</f>
        <v>Charles Bradford</v>
      </c>
      <c r="B57" s="9" t="str">
        <f>_xlfn.CONCAT(Sheet1!A57, " (",Sheet1!H57,")")</f>
        <v>Charles (Scrum Master)</v>
      </c>
      <c r="C57" s="9">
        <f>SUM(Sheet1!D57:G57)</f>
        <v>17344.05</v>
      </c>
      <c r="D57" s="9">
        <f>AVERAGE(Sheet1!D57:G57)</f>
        <v>4336.0124999999998</v>
      </c>
      <c r="E57" s="9">
        <f>MEDIAN(Sheet1!D57:F57,Sheet1!G57)</f>
        <v>4358.2250000000004</v>
      </c>
      <c r="F57" s="10">
        <f>STDEV(Sheet1!D57:G57)</f>
        <v>1317.1260867604919</v>
      </c>
      <c r="G57" s="9">
        <f>PRODUCT(Sheet1!D57,Sheet1!F57:G57)</f>
        <v>101798928932.99014</v>
      </c>
      <c r="H57" s="9" t="str">
        <f t="shared" si="0"/>
        <v>Approved</v>
      </c>
    </row>
    <row r="58" spans="1:8" x14ac:dyDescent="0.3">
      <c r="A58" s="8" t="str">
        <f>_xlfn.CONCAT(Sheet1!A58," ",Sheet1!B58)</f>
        <v>Joshua Peters</v>
      </c>
      <c r="B58" s="9" t="str">
        <f>_xlfn.CONCAT(Sheet1!A58, " (",Sheet1!H58,")")</f>
        <v>Joshua (Backend Developer)</v>
      </c>
      <c r="C58" s="9">
        <f>SUM(Sheet1!D58:G58)</f>
        <v>15219.650000000001</v>
      </c>
      <c r="D58" s="9">
        <f>AVERAGE(Sheet1!D58:G58)</f>
        <v>3804.9125000000004</v>
      </c>
      <c r="E58" s="9">
        <f>MEDIAN(Sheet1!D58:F58,Sheet1!G58)</f>
        <v>3883.4250000000002</v>
      </c>
      <c r="F58" s="10">
        <f>STDEV(Sheet1!D58:G58)</f>
        <v>575.72555118881451</v>
      </c>
      <c r="G58" s="9">
        <f>PRODUCT(Sheet1!D58,Sheet1!F58:G58)</f>
        <v>47962553772.182457</v>
      </c>
      <c r="H58" s="9" t="str">
        <f t="shared" si="0"/>
        <v>Approved</v>
      </c>
    </row>
    <row r="59" spans="1:8" x14ac:dyDescent="0.3">
      <c r="A59" s="8" t="str">
        <f>_xlfn.CONCAT(Sheet1!A59," ",Sheet1!B59)</f>
        <v>Adam Mckinney</v>
      </c>
      <c r="B59" s="9" t="str">
        <f>_xlfn.CONCAT(Sheet1!A59, " (",Sheet1!H59,")")</f>
        <v>Adam (Data Scientist)</v>
      </c>
      <c r="C59" s="9">
        <f>SUM(Sheet1!D59:G59)</f>
        <v>15557.39</v>
      </c>
      <c r="D59" s="9">
        <f>AVERAGE(Sheet1!D59:G59)</f>
        <v>3889.3474999999999</v>
      </c>
      <c r="E59" s="9">
        <f>MEDIAN(Sheet1!D59:F59,Sheet1!G59)</f>
        <v>3834.375</v>
      </c>
      <c r="F59" s="10">
        <f>STDEV(Sheet1!D59:G59)</f>
        <v>609.248544212458</v>
      </c>
      <c r="G59" s="9">
        <f>PRODUCT(Sheet1!D59,Sheet1!F59:G59)</f>
        <v>65492006729.333176</v>
      </c>
      <c r="H59" s="9" t="str">
        <f t="shared" si="0"/>
        <v>Not Approved</v>
      </c>
    </row>
    <row r="60" spans="1:8" x14ac:dyDescent="0.3">
      <c r="A60" s="8" t="str">
        <f>_xlfn.CONCAT(Sheet1!A60," ",Sheet1!B60)</f>
        <v>Devin Roberts</v>
      </c>
      <c r="B60" s="9" t="str">
        <f>_xlfn.CONCAT(Sheet1!A60, " (",Sheet1!H60,")")</f>
        <v>Devin (DevOps Engineer)</v>
      </c>
      <c r="C60" s="9">
        <f>SUM(Sheet1!D60:G60)</f>
        <v>18890.27</v>
      </c>
      <c r="D60" s="9">
        <f>AVERAGE(Sheet1!D60:G60)</f>
        <v>4722.5675000000001</v>
      </c>
      <c r="E60" s="9">
        <f>MEDIAN(Sheet1!D60:F60,Sheet1!G60)</f>
        <v>4516.88</v>
      </c>
      <c r="F60" s="10">
        <f>STDEV(Sheet1!D60:G60)</f>
        <v>1269.2449021202856</v>
      </c>
      <c r="G60" s="9">
        <f>PRODUCT(Sheet1!D60,Sheet1!F60:G60)</f>
        <v>88586808185.127838</v>
      </c>
      <c r="H60" s="9" t="str">
        <f t="shared" si="0"/>
        <v>Not Approved</v>
      </c>
    </row>
    <row r="61" spans="1:8" x14ac:dyDescent="0.3">
      <c r="A61" s="8" t="str">
        <f>_xlfn.CONCAT(Sheet1!A61," ",Sheet1!B61)</f>
        <v>Brett Barry</v>
      </c>
      <c r="B61" s="9" t="str">
        <f>_xlfn.CONCAT(Sheet1!A61, " (",Sheet1!H61,")")</f>
        <v>Brett (Data Scientist)</v>
      </c>
      <c r="C61" s="9">
        <f>SUM(Sheet1!D61:G61)</f>
        <v>18130.46</v>
      </c>
      <c r="D61" s="9">
        <f>AVERAGE(Sheet1!D61:G61)</f>
        <v>4532.6149999999998</v>
      </c>
      <c r="E61" s="9">
        <f>MEDIAN(Sheet1!D61:F61,Sheet1!G61)</f>
        <v>4571.3450000000003</v>
      </c>
      <c r="F61" s="10">
        <f>STDEV(Sheet1!D61:G61)</f>
        <v>722.447985417175</v>
      </c>
      <c r="G61" s="9">
        <f>PRODUCT(Sheet1!D61,Sheet1!F61:G61)</f>
        <v>75487772950.730072</v>
      </c>
      <c r="H61" s="9" t="str">
        <f t="shared" si="0"/>
        <v>Approved</v>
      </c>
    </row>
    <row r="62" spans="1:8" x14ac:dyDescent="0.3">
      <c r="A62" s="8" t="str">
        <f>_xlfn.CONCAT(Sheet1!A62," ",Sheet1!B62)</f>
        <v>Wendy Jackson</v>
      </c>
      <c r="B62" s="9" t="str">
        <f>_xlfn.CONCAT(Sheet1!A62, " (",Sheet1!H62,")")</f>
        <v>Wendy (UI/UX Designer)</v>
      </c>
      <c r="C62" s="9">
        <f>SUM(Sheet1!D62:G62)</f>
        <v>21912.55</v>
      </c>
      <c r="D62" s="9">
        <f>AVERAGE(Sheet1!D62:G62)</f>
        <v>5478.1374999999998</v>
      </c>
      <c r="E62" s="9">
        <f>MEDIAN(Sheet1!D62:F62,Sheet1!G62)</f>
        <v>5504.1949999999997</v>
      </c>
      <c r="F62" s="10">
        <f>STDEV(Sheet1!D62:G62)</f>
        <v>1322.4958020695838</v>
      </c>
      <c r="G62" s="9">
        <f>PRODUCT(Sheet1!D62,Sheet1!F62:G62)</f>
        <v>118613938050.51414</v>
      </c>
      <c r="H62" s="9" t="str">
        <f t="shared" si="0"/>
        <v>Approved</v>
      </c>
    </row>
    <row r="63" spans="1:8" x14ac:dyDescent="0.3">
      <c r="A63" s="8" t="str">
        <f>_xlfn.CONCAT(Sheet1!A63," ",Sheet1!B63)</f>
        <v>Caitlin Farrell</v>
      </c>
      <c r="B63" s="9" t="str">
        <f>_xlfn.CONCAT(Sheet1!A63, " (",Sheet1!H63,")")</f>
        <v>Caitlin (Data Scientist)</v>
      </c>
      <c r="C63" s="9">
        <f>SUM(Sheet1!D63:G63)</f>
        <v>20870.04</v>
      </c>
      <c r="D63" s="9">
        <f>AVERAGE(Sheet1!D63:G63)</f>
        <v>5217.51</v>
      </c>
      <c r="E63" s="9">
        <f>MEDIAN(Sheet1!D63:F63,Sheet1!G63)</f>
        <v>5380.96</v>
      </c>
      <c r="F63" s="10">
        <f>STDEV(Sheet1!D63:G63)</f>
        <v>1676.615032816617</v>
      </c>
      <c r="G63" s="9">
        <f>PRODUCT(Sheet1!D63,Sheet1!F63:G63)</f>
        <v>96595853101.523834</v>
      </c>
      <c r="H63" s="9" t="str">
        <f t="shared" si="0"/>
        <v>Approved</v>
      </c>
    </row>
    <row r="64" spans="1:8" x14ac:dyDescent="0.3">
      <c r="A64" s="8" t="str">
        <f>_xlfn.CONCAT(Sheet1!A64," ",Sheet1!B64)</f>
        <v>Eric Blevins</v>
      </c>
      <c r="B64" s="9" t="str">
        <f>_xlfn.CONCAT(Sheet1!A64, " (",Sheet1!H64,")")</f>
        <v>Eric (Product Manager)</v>
      </c>
      <c r="C64" s="9">
        <f>SUM(Sheet1!D64:G64)</f>
        <v>19213.14</v>
      </c>
      <c r="D64" s="9">
        <f>AVERAGE(Sheet1!D64:G64)</f>
        <v>4803.2849999999999</v>
      </c>
      <c r="E64" s="9">
        <f>MEDIAN(Sheet1!D64:F64,Sheet1!G64)</f>
        <v>4701.26</v>
      </c>
      <c r="F64" s="10">
        <f>STDEV(Sheet1!D64:G64)</f>
        <v>842.96423160574705</v>
      </c>
      <c r="G64" s="9">
        <f>PRODUCT(Sheet1!D64,Sheet1!F64:G64)</f>
        <v>86043202363.647064</v>
      </c>
      <c r="H64" s="9" t="str">
        <f t="shared" si="0"/>
        <v>Not Approved</v>
      </c>
    </row>
    <row r="65" spans="1:8" x14ac:dyDescent="0.3">
      <c r="A65" s="8" t="str">
        <f>_xlfn.CONCAT(Sheet1!A65," ",Sheet1!B65)</f>
        <v>Michael Walter</v>
      </c>
      <c r="B65" s="9" t="str">
        <f>_xlfn.CONCAT(Sheet1!A65, " (",Sheet1!H65,")")</f>
        <v>Michael (QA Engineer)</v>
      </c>
      <c r="C65" s="9">
        <f>SUM(Sheet1!D65:G65)</f>
        <v>19428.939999999999</v>
      </c>
      <c r="D65" s="9">
        <f>AVERAGE(Sheet1!D65:G65)</f>
        <v>4857.2349999999997</v>
      </c>
      <c r="E65" s="9">
        <f>MEDIAN(Sheet1!D65:F65,Sheet1!G65)</f>
        <v>4995.5249999999996</v>
      </c>
      <c r="F65" s="10">
        <f>STDEV(Sheet1!D65:G65)</f>
        <v>1168.0978610972656</v>
      </c>
      <c r="G65" s="9">
        <f>PRODUCT(Sheet1!D65,Sheet1!F65:G65)</f>
        <v>153128674617.51056</v>
      </c>
      <c r="H65" s="9" t="str">
        <f t="shared" si="0"/>
        <v>Approved</v>
      </c>
    </row>
    <row r="66" spans="1:8" x14ac:dyDescent="0.3">
      <c r="A66" s="8" t="str">
        <f>_xlfn.CONCAT(Sheet1!A66," ",Sheet1!B66)</f>
        <v>Nancy Hughes</v>
      </c>
      <c r="B66" s="9" t="str">
        <f>_xlfn.CONCAT(Sheet1!A66, " (",Sheet1!H66,")")</f>
        <v>Nancy (Full Stack Developer)</v>
      </c>
      <c r="C66" s="9">
        <f>SUM(Sheet1!D66:G66)</f>
        <v>20586.63</v>
      </c>
      <c r="D66" s="9">
        <f>AVERAGE(Sheet1!D66:G66)</f>
        <v>5146.6575000000003</v>
      </c>
      <c r="E66" s="9">
        <f>MEDIAN(Sheet1!D66:F66,Sheet1!G66)</f>
        <v>5252.2049999999999</v>
      </c>
      <c r="F66" s="10">
        <f>STDEV(Sheet1!D66:G66)</f>
        <v>466.03763284202722</v>
      </c>
      <c r="G66" s="9">
        <f>PRODUCT(Sheet1!D66,Sheet1!F66:G66)</f>
        <v>123987898742.00204</v>
      </c>
      <c r="H66" s="9" t="str">
        <f t="shared" si="0"/>
        <v>Approved</v>
      </c>
    </row>
    <row r="67" spans="1:8" x14ac:dyDescent="0.3">
      <c r="A67" s="8" t="str">
        <f>_xlfn.CONCAT(Sheet1!A67," ",Sheet1!B67)</f>
        <v>Glen Wilcox</v>
      </c>
      <c r="B67" s="9" t="str">
        <f>_xlfn.CONCAT(Sheet1!A67, " (",Sheet1!H67,")")</f>
        <v>Glen (Full Stack Developer)</v>
      </c>
      <c r="C67" s="9">
        <f>SUM(Sheet1!D67:G67)</f>
        <v>19014.72</v>
      </c>
      <c r="D67" s="9">
        <f>AVERAGE(Sheet1!D67:G67)</f>
        <v>4753.68</v>
      </c>
      <c r="E67" s="9">
        <f>MEDIAN(Sheet1!D67:F67,Sheet1!G67)</f>
        <v>4596.7700000000004</v>
      </c>
      <c r="F67" s="10">
        <f>STDEV(Sheet1!D67:G67)</f>
        <v>1463.6993273210169</v>
      </c>
      <c r="G67" s="9">
        <f>PRODUCT(Sheet1!D67,Sheet1!F67:G67)</f>
        <v>136146181659.85097</v>
      </c>
      <c r="H67" s="9" t="str">
        <f t="shared" ref="H67:H101" si="1">IF(E67&gt;D67,"Approved", "Not Approved")</f>
        <v>Not Approved</v>
      </c>
    </row>
    <row r="68" spans="1:8" x14ac:dyDescent="0.3">
      <c r="A68" s="8" t="str">
        <f>_xlfn.CONCAT(Sheet1!A68," ",Sheet1!B68)</f>
        <v>Angela Hansen</v>
      </c>
      <c r="B68" s="9" t="str">
        <f>_xlfn.CONCAT(Sheet1!A68, " (",Sheet1!H68,")")</f>
        <v>Angela (Backend Developer)</v>
      </c>
      <c r="C68" s="9">
        <f>SUM(Sheet1!D68:G68)</f>
        <v>23047.770000000004</v>
      </c>
      <c r="D68" s="9">
        <f>AVERAGE(Sheet1!D68:G68)</f>
        <v>5761.942500000001</v>
      </c>
      <c r="E68" s="9">
        <f>MEDIAN(Sheet1!D68:F68,Sheet1!G68)</f>
        <v>6097.3649999999998</v>
      </c>
      <c r="F68" s="10">
        <f>STDEV(Sheet1!D68:G68)</f>
        <v>1363.2090341390494</v>
      </c>
      <c r="G68" s="9">
        <f>PRODUCT(Sheet1!D68,Sheet1!F68:G68)</f>
        <v>153538562781.4957</v>
      </c>
      <c r="H68" s="9" t="str">
        <f t="shared" si="1"/>
        <v>Approved</v>
      </c>
    </row>
    <row r="69" spans="1:8" x14ac:dyDescent="0.3">
      <c r="A69" s="8" t="str">
        <f>_xlfn.CONCAT(Sheet1!A69," ",Sheet1!B69)</f>
        <v>Brian Bennett</v>
      </c>
      <c r="B69" s="9" t="str">
        <f>_xlfn.CONCAT(Sheet1!A69, " (",Sheet1!H69,")")</f>
        <v>Brian (Product Manager)</v>
      </c>
      <c r="C69" s="9">
        <f>SUM(Sheet1!D69:G69)</f>
        <v>16931.150000000001</v>
      </c>
      <c r="D69" s="9">
        <f>AVERAGE(Sheet1!D69:G69)</f>
        <v>4232.7875000000004</v>
      </c>
      <c r="E69" s="9">
        <f>MEDIAN(Sheet1!D69:F69,Sheet1!G69)</f>
        <v>4227.47</v>
      </c>
      <c r="F69" s="10">
        <f>STDEV(Sheet1!D69:G69)</f>
        <v>505.10762373807734</v>
      </c>
      <c r="G69" s="9">
        <f>PRODUCT(Sheet1!D69,Sheet1!F69:G69)</f>
        <v>67704924764.87899</v>
      </c>
      <c r="H69" s="9" t="str">
        <f t="shared" si="1"/>
        <v>Not Approved</v>
      </c>
    </row>
    <row r="70" spans="1:8" x14ac:dyDescent="0.3">
      <c r="A70" s="8" t="str">
        <f>_xlfn.CONCAT(Sheet1!A70," ",Sheet1!B70)</f>
        <v>Steven Blair</v>
      </c>
      <c r="B70" s="9" t="str">
        <f>_xlfn.CONCAT(Sheet1!A70, " (",Sheet1!H70,")")</f>
        <v>Steven (Full Stack Developer)</v>
      </c>
      <c r="C70" s="9">
        <f>SUM(Sheet1!D70:G70)</f>
        <v>17613.5</v>
      </c>
      <c r="D70" s="9">
        <f>AVERAGE(Sheet1!D70:G70)</f>
        <v>4403.375</v>
      </c>
      <c r="E70" s="9">
        <f>MEDIAN(Sheet1!D70:F70,Sheet1!G70)</f>
        <v>4440.7950000000001</v>
      </c>
      <c r="F70" s="10">
        <f>STDEV(Sheet1!D70:G70)</f>
        <v>1449.1172180906105</v>
      </c>
      <c r="G70" s="9">
        <f>PRODUCT(Sheet1!D70,Sheet1!F70:G70)</f>
        <v>104396260345.75856</v>
      </c>
      <c r="H70" s="9" t="str">
        <f t="shared" si="1"/>
        <v>Approved</v>
      </c>
    </row>
    <row r="71" spans="1:8" x14ac:dyDescent="0.3">
      <c r="A71" s="8" t="str">
        <f>_xlfn.CONCAT(Sheet1!A71," ",Sheet1!B71)</f>
        <v>Caitlyn Gutierrez</v>
      </c>
      <c r="B71" s="9" t="str">
        <f>_xlfn.CONCAT(Sheet1!A71, " (",Sheet1!H71,")")</f>
        <v>Caitlyn (DevOps Engineer)</v>
      </c>
      <c r="C71" s="9">
        <f>SUM(Sheet1!D71:G71)</f>
        <v>18804.849999999999</v>
      </c>
      <c r="D71" s="9">
        <f>AVERAGE(Sheet1!D71:G71)</f>
        <v>4701.2124999999996</v>
      </c>
      <c r="E71" s="9">
        <f>MEDIAN(Sheet1!D71:F71,Sheet1!G71)</f>
        <v>4730.4650000000001</v>
      </c>
      <c r="F71" s="10">
        <f>STDEV(Sheet1!D71:G71)</f>
        <v>881.44978118911604</v>
      </c>
      <c r="G71" s="9">
        <f>PRODUCT(Sheet1!D71,Sheet1!F71:G71)</f>
        <v>94942775027.302032</v>
      </c>
      <c r="H71" s="9" t="str">
        <f t="shared" si="1"/>
        <v>Approved</v>
      </c>
    </row>
    <row r="72" spans="1:8" x14ac:dyDescent="0.3">
      <c r="A72" s="8" t="str">
        <f>_xlfn.CONCAT(Sheet1!A72," ",Sheet1!B72)</f>
        <v>Jennifer Marquez</v>
      </c>
      <c r="B72" s="9" t="str">
        <f>_xlfn.CONCAT(Sheet1!A72, " (",Sheet1!H72,")")</f>
        <v>Jennifer (Full Stack Developer)</v>
      </c>
      <c r="C72" s="9">
        <f>SUM(Sheet1!D72:G72)</f>
        <v>18896.09</v>
      </c>
      <c r="D72" s="9">
        <f>AVERAGE(Sheet1!D72:G72)</f>
        <v>4724.0225</v>
      </c>
      <c r="E72" s="9">
        <f>MEDIAN(Sheet1!D72:F72,Sheet1!G72)</f>
        <v>4809.6550000000007</v>
      </c>
      <c r="F72" s="10">
        <f>STDEV(Sheet1!D72:G72)</f>
        <v>1155.7667690722335</v>
      </c>
      <c r="G72" s="9">
        <f>PRODUCT(Sheet1!D72,Sheet1!F72:G72)</f>
        <v>133585079922.14815</v>
      </c>
      <c r="H72" s="9" t="str">
        <f t="shared" si="1"/>
        <v>Approved</v>
      </c>
    </row>
    <row r="73" spans="1:8" x14ac:dyDescent="0.3">
      <c r="A73" s="8" t="str">
        <f>_xlfn.CONCAT(Sheet1!A73," ",Sheet1!B73)</f>
        <v>Joseph Black</v>
      </c>
      <c r="B73" s="9" t="str">
        <f>_xlfn.CONCAT(Sheet1!A73, " (",Sheet1!H73,")")</f>
        <v>Joseph (Software Engineer)</v>
      </c>
      <c r="C73" s="9">
        <f>SUM(Sheet1!D73:G73)</f>
        <v>17337.689999999999</v>
      </c>
      <c r="D73" s="9">
        <f>AVERAGE(Sheet1!D73:G73)</f>
        <v>4334.4224999999997</v>
      </c>
      <c r="E73" s="9">
        <f>MEDIAN(Sheet1!D73:F73,Sheet1!G73)</f>
        <v>4139.4799999999996</v>
      </c>
      <c r="F73" s="10">
        <f>STDEV(Sheet1!D73:G73)</f>
        <v>1167.5812113760376</v>
      </c>
      <c r="G73" s="9">
        <f>PRODUCT(Sheet1!D73,Sheet1!F73:G73)</f>
        <v>78404179577.753082</v>
      </c>
      <c r="H73" s="9" t="str">
        <f t="shared" si="1"/>
        <v>Not Approved</v>
      </c>
    </row>
    <row r="74" spans="1:8" x14ac:dyDescent="0.3">
      <c r="A74" s="8" t="str">
        <f>_xlfn.CONCAT(Sheet1!A74," ",Sheet1!B74)</f>
        <v>Veronica Porter</v>
      </c>
      <c r="B74" s="9" t="str">
        <f>_xlfn.CONCAT(Sheet1!A74, " (",Sheet1!H74,")")</f>
        <v>Veronica (Business Analyst)</v>
      </c>
      <c r="C74" s="9">
        <f>SUM(Sheet1!D74:G74)</f>
        <v>17077.93</v>
      </c>
      <c r="D74" s="9">
        <f>AVERAGE(Sheet1!D74:G74)</f>
        <v>4269.4825000000001</v>
      </c>
      <c r="E74" s="9">
        <f>MEDIAN(Sheet1!D74:F74,Sheet1!G74)</f>
        <v>3602.0600000000004</v>
      </c>
      <c r="F74" s="10">
        <f>STDEV(Sheet1!D74:G74)</f>
        <v>1793.7920908209135</v>
      </c>
      <c r="G74" s="9">
        <f>PRODUCT(Sheet1!D74,Sheet1!F74:G74)</f>
        <v>85440838451.515121</v>
      </c>
      <c r="H74" s="9" t="str">
        <f t="shared" si="1"/>
        <v>Not Approved</v>
      </c>
    </row>
    <row r="75" spans="1:8" x14ac:dyDescent="0.3">
      <c r="A75" s="8" t="str">
        <f>_xlfn.CONCAT(Sheet1!A75," ",Sheet1!B75)</f>
        <v>Amanda Todd</v>
      </c>
      <c r="B75" s="9" t="str">
        <f>_xlfn.CONCAT(Sheet1!A75, " (",Sheet1!H75,")")</f>
        <v>Amanda (Cloud Engineer)</v>
      </c>
      <c r="C75" s="9">
        <f>SUM(Sheet1!D75:G75)</f>
        <v>15674.35</v>
      </c>
      <c r="D75" s="9">
        <f>AVERAGE(Sheet1!D75:G75)</f>
        <v>3918.5875000000001</v>
      </c>
      <c r="E75" s="9">
        <f>MEDIAN(Sheet1!D75:F75,Sheet1!G75)</f>
        <v>4074.8950000000004</v>
      </c>
      <c r="F75" s="10">
        <f>STDEV(Sheet1!D75:G75)</f>
        <v>555.69997722842197</v>
      </c>
      <c r="G75" s="9">
        <f>PRODUCT(Sheet1!D75,Sheet1!F75:G75)</f>
        <v>57929787896.080551</v>
      </c>
      <c r="H75" s="9" t="str">
        <f t="shared" si="1"/>
        <v>Approved</v>
      </c>
    </row>
    <row r="76" spans="1:8" x14ac:dyDescent="0.3">
      <c r="A76" s="8" t="str">
        <f>_xlfn.CONCAT(Sheet1!A76," ",Sheet1!B76)</f>
        <v>Ashley Brown</v>
      </c>
      <c r="B76" s="9" t="str">
        <f>_xlfn.CONCAT(Sheet1!A76, " (",Sheet1!H76,")")</f>
        <v>Ashley (Software Engineer)</v>
      </c>
      <c r="C76" s="9">
        <f>SUM(Sheet1!D76:G76)</f>
        <v>21780.21</v>
      </c>
      <c r="D76" s="9">
        <f>AVERAGE(Sheet1!D76:G76)</f>
        <v>5445.0524999999998</v>
      </c>
      <c r="E76" s="9">
        <f>MEDIAN(Sheet1!D76:F76,Sheet1!G76)</f>
        <v>5217.3</v>
      </c>
      <c r="F76" s="10">
        <f>STDEV(Sheet1!D76:G76)</f>
        <v>1031.1545093203399</v>
      </c>
      <c r="G76" s="9">
        <f>PRODUCT(Sheet1!D76,Sheet1!F76:G76)</f>
        <v>122123246299.63921</v>
      </c>
      <c r="H76" s="9" t="str">
        <f t="shared" si="1"/>
        <v>Not Approved</v>
      </c>
    </row>
    <row r="77" spans="1:8" x14ac:dyDescent="0.3">
      <c r="A77" s="8" t="str">
        <f>_xlfn.CONCAT(Sheet1!A77," ",Sheet1!B77)</f>
        <v>Stephen Green</v>
      </c>
      <c r="B77" s="9" t="str">
        <f>_xlfn.CONCAT(Sheet1!A77, " (",Sheet1!H77,")")</f>
        <v>Stephen (UI/UX Designer)</v>
      </c>
      <c r="C77" s="9">
        <f>SUM(Sheet1!D77:G77)</f>
        <v>22165.87</v>
      </c>
      <c r="D77" s="9">
        <f>AVERAGE(Sheet1!D77:G77)</f>
        <v>5541.4674999999997</v>
      </c>
      <c r="E77" s="9">
        <f>MEDIAN(Sheet1!D77:F77,Sheet1!G77)</f>
        <v>6060.66</v>
      </c>
      <c r="F77" s="10">
        <f>STDEV(Sheet1!D77:G77)</f>
        <v>1508.499346003063</v>
      </c>
      <c r="G77" s="9">
        <f>PRODUCT(Sheet1!D77,Sheet1!F77:G77)</f>
        <v>122340255426.26314</v>
      </c>
      <c r="H77" s="9" t="str">
        <f t="shared" si="1"/>
        <v>Approved</v>
      </c>
    </row>
    <row r="78" spans="1:8" x14ac:dyDescent="0.3">
      <c r="A78" s="8" t="str">
        <f>_xlfn.CONCAT(Sheet1!A78," ",Sheet1!B78)</f>
        <v>Angela Gibbs</v>
      </c>
      <c r="B78" s="9" t="str">
        <f>_xlfn.CONCAT(Sheet1!A78, " (",Sheet1!H78,")")</f>
        <v>Angela (Business Analyst)</v>
      </c>
      <c r="C78" s="9">
        <f>SUM(Sheet1!D78:G78)</f>
        <v>16554.86</v>
      </c>
      <c r="D78" s="9">
        <f>AVERAGE(Sheet1!D78:G78)</f>
        <v>4138.7150000000001</v>
      </c>
      <c r="E78" s="9">
        <f>MEDIAN(Sheet1!D78:F78,Sheet1!G78)</f>
        <v>3876.5450000000001</v>
      </c>
      <c r="F78" s="10">
        <f>STDEV(Sheet1!D78:G78)</f>
        <v>1125.3640346276086</v>
      </c>
      <c r="G78" s="9">
        <f>PRODUCT(Sheet1!D78,Sheet1!F78:G78)</f>
        <v>78383505842.041</v>
      </c>
      <c r="H78" s="9" t="str">
        <f t="shared" si="1"/>
        <v>Not Approved</v>
      </c>
    </row>
    <row r="79" spans="1:8" x14ac:dyDescent="0.3">
      <c r="A79" s="8" t="str">
        <f>_xlfn.CONCAT(Sheet1!A79," ",Sheet1!B79)</f>
        <v>Timothy Hughes</v>
      </c>
      <c r="B79" s="9" t="str">
        <f>_xlfn.CONCAT(Sheet1!A79, " (",Sheet1!H79,")")</f>
        <v>Timothy (Full Stack Developer)</v>
      </c>
      <c r="C79" s="9">
        <f>SUM(Sheet1!D79:G79)</f>
        <v>19838.38</v>
      </c>
      <c r="D79" s="9">
        <f>AVERAGE(Sheet1!D79:G79)</f>
        <v>4959.5950000000003</v>
      </c>
      <c r="E79" s="9">
        <f>MEDIAN(Sheet1!D79:F79,Sheet1!G79)</f>
        <v>4764.33</v>
      </c>
      <c r="F79" s="10">
        <f>STDEV(Sheet1!D79:G79)</f>
        <v>1127.7508440697354</v>
      </c>
      <c r="G79" s="9">
        <f>PRODUCT(Sheet1!D79,Sheet1!F79:G79)</f>
        <v>144810918400.89178</v>
      </c>
      <c r="H79" s="9" t="str">
        <f t="shared" si="1"/>
        <v>Not Approved</v>
      </c>
    </row>
    <row r="80" spans="1:8" x14ac:dyDescent="0.3">
      <c r="A80" s="8" t="str">
        <f>_xlfn.CONCAT(Sheet1!A80," ",Sheet1!B80)</f>
        <v>Vanessa Griffin</v>
      </c>
      <c r="B80" s="9" t="str">
        <f>_xlfn.CONCAT(Sheet1!A80, " (",Sheet1!H80,")")</f>
        <v>Vanessa (Data Scientist)</v>
      </c>
      <c r="C80" s="9">
        <f>SUM(Sheet1!D80:G80)</f>
        <v>18426.330000000002</v>
      </c>
      <c r="D80" s="9">
        <f>AVERAGE(Sheet1!D80:G80)</f>
        <v>4606.5825000000004</v>
      </c>
      <c r="E80" s="9">
        <f>MEDIAN(Sheet1!D80:F80,Sheet1!G80)</f>
        <v>4597.24</v>
      </c>
      <c r="F80" s="10">
        <f>STDEV(Sheet1!D80:G80)</f>
        <v>1267.6660293987775</v>
      </c>
      <c r="G80" s="9">
        <f>PRODUCT(Sheet1!D80,Sheet1!F80:G80)</f>
        <v>93292651885.618942</v>
      </c>
      <c r="H80" s="9" t="str">
        <f t="shared" si="1"/>
        <v>Not Approved</v>
      </c>
    </row>
    <row r="81" spans="1:8" x14ac:dyDescent="0.3">
      <c r="A81" s="8" t="str">
        <f>_xlfn.CONCAT(Sheet1!A81," ",Sheet1!B81)</f>
        <v>Kaitlin Colon</v>
      </c>
      <c r="B81" s="9" t="str">
        <f>_xlfn.CONCAT(Sheet1!A81, " (",Sheet1!H81,")")</f>
        <v>Kaitlin (Scrum Master)</v>
      </c>
      <c r="C81" s="9">
        <f>SUM(Sheet1!D81:G81)</f>
        <v>16668.38</v>
      </c>
      <c r="D81" s="9">
        <f>AVERAGE(Sheet1!D81:G81)</f>
        <v>4167.0950000000003</v>
      </c>
      <c r="E81" s="9">
        <f>MEDIAN(Sheet1!D81:F81,Sheet1!G81)</f>
        <v>3887.17</v>
      </c>
      <c r="F81" s="10">
        <f>STDEV(Sheet1!D81:G81)</f>
        <v>1247.4151424846491</v>
      </c>
      <c r="G81" s="9">
        <f>PRODUCT(Sheet1!D81,Sheet1!F81:G81)</f>
        <v>45405706108.971603</v>
      </c>
      <c r="H81" s="9" t="str">
        <f t="shared" si="1"/>
        <v>Not Approved</v>
      </c>
    </row>
    <row r="82" spans="1:8" x14ac:dyDescent="0.3">
      <c r="A82" s="8" t="str">
        <f>_xlfn.CONCAT(Sheet1!A82," ",Sheet1!B82)</f>
        <v>Joshua Benson</v>
      </c>
      <c r="B82" s="9" t="str">
        <f>_xlfn.CONCAT(Sheet1!A82, " (",Sheet1!H82,")")</f>
        <v>Joshua (Data Scientist)</v>
      </c>
      <c r="C82" s="9">
        <f>SUM(Sheet1!D82:G82)</f>
        <v>19293.84</v>
      </c>
      <c r="D82" s="9">
        <f>AVERAGE(Sheet1!D82:G82)</f>
        <v>4823.46</v>
      </c>
      <c r="E82" s="9">
        <f>MEDIAN(Sheet1!D82:F82,Sheet1!G82)</f>
        <v>4401.7349999999997</v>
      </c>
      <c r="F82" s="10">
        <f>STDEV(Sheet1!D82:G82)</f>
        <v>1542.8769077062902</v>
      </c>
      <c r="G82" s="9">
        <f>PRODUCT(Sheet1!D82,Sheet1!F82:G82)</f>
        <v>128302228318.60582</v>
      </c>
      <c r="H82" s="9" t="str">
        <f t="shared" si="1"/>
        <v>Not Approved</v>
      </c>
    </row>
    <row r="83" spans="1:8" x14ac:dyDescent="0.3">
      <c r="A83" s="8" t="str">
        <f>_xlfn.CONCAT(Sheet1!A83," ",Sheet1!B83)</f>
        <v>Nicholas Chavez</v>
      </c>
      <c r="B83" s="9" t="str">
        <f>_xlfn.CONCAT(Sheet1!A83, " (",Sheet1!H83,")")</f>
        <v>Nicholas (Security Analyst)</v>
      </c>
      <c r="C83" s="9">
        <f>SUM(Sheet1!D83:G83)</f>
        <v>18560.11</v>
      </c>
      <c r="D83" s="9">
        <f>AVERAGE(Sheet1!D83:G83)</f>
        <v>4640.0275000000001</v>
      </c>
      <c r="E83" s="9">
        <f>MEDIAN(Sheet1!D83:F83,Sheet1!G83)</f>
        <v>4793</v>
      </c>
      <c r="F83" s="10">
        <f>STDEV(Sheet1!D83:G83)</f>
        <v>1236.9130520877359</v>
      </c>
      <c r="G83" s="9">
        <f>PRODUCT(Sheet1!D83,Sheet1!F83:G83)</f>
        <v>90748270084.750259</v>
      </c>
      <c r="H83" s="9" t="str">
        <f t="shared" si="1"/>
        <v>Approved</v>
      </c>
    </row>
    <row r="84" spans="1:8" x14ac:dyDescent="0.3">
      <c r="A84" s="8" t="str">
        <f>_xlfn.CONCAT(Sheet1!A84," ",Sheet1!B84)</f>
        <v>Timothy Nelson</v>
      </c>
      <c r="B84" s="9" t="str">
        <f>_xlfn.CONCAT(Sheet1!A84, " (",Sheet1!H84,")")</f>
        <v>Timothy (Frontend Developer)</v>
      </c>
      <c r="C84" s="9">
        <f>SUM(Sheet1!D84:G84)</f>
        <v>19074.2</v>
      </c>
      <c r="D84" s="9">
        <f>AVERAGE(Sheet1!D84:G84)</f>
        <v>4768.55</v>
      </c>
      <c r="E84" s="9">
        <f>MEDIAN(Sheet1!D84:F84,Sheet1!G84)</f>
        <v>4336.2150000000001</v>
      </c>
      <c r="F84" s="10">
        <f>STDEV(Sheet1!D84:G84)</f>
        <v>1382.2439053220667</v>
      </c>
      <c r="G84" s="9">
        <f>PRODUCT(Sheet1!D84,Sheet1!F84:G84)</f>
        <v>116582513141.04779</v>
      </c>
      <c r="H84" s="9" t="str">
        <f t="shared" si="1"/>
        <v>Not Approved</v>
      </c>
    </row>
    <row r="85" spans="1:8" x14ac:dyDescent="0.3">
      <c r="A85" s="8" t="str">
        <f>_xlfn.CONCAT(Sheet1!A85," ",Sheet1!B85)</f>
        <v>Scott Smith</v>
      </c>
      <c r="B85" s="9" t="str">
        <f>_xlfn.CONCAT(Sheet1!A85, " (",Sheet1!H85,")")</f>
        <v>Scott (Frontend Developer)</v>
      </c>
      <c r="C85" s="9">
        <f>SUM(Sheet1!D85:G85)</f>
        <v>21241.65</v>
      </c>
      <c r="D85" s="9">
        <f>AVERAGE(Sheet1!D85:G85)</f>
        <v>5310.4125000000004</v>
      </c>
      <c r="E85" s="9">
        <f>MEDIAN(Sheet1!D85:F85,Sheet1!G85)</f>
        <v>5599.3600000000006</v>
      </c>
      <c r="F85" s="10">
        <f>STDEV(Sheet1!D85:G85)</f>
        <v>1031.2032643591645</v>
      </c>
      <c r="G85" s="9">
        <f>PRODUCT(Sheet1!D85,Sheet1!F85:G85)</f>
        <v>137870426873.35104</v>
      </c>
      <c r="H85" s="9" t="str">
        <f t="shared" si="1"/>
        <v>Approved</v>
      </c>
    </row>
    <row r="86" spans="1:8" x14ac:dyDescent="0.3">
      <c r="A86" s="8" t="str">
        <f>_xlfn.CONCAT(Sheet1!A86," ",Sheet1!B86)</f>
        <v>Cathy Carr</v>
      </c>
      <c r="B86" s="9" t="str">
        <f>_xlfn.CONCAT(Sheet1!A86, " (",Sheet1!H86,")")</f>
        <v>Cathy (DevOps Engineer)</v>
      </c>
      <c r="C86" s="9">
        <f>SUM(Sheet1!D86:G86)</f>
        <v>22267.69</v>
      </c>
      <c r="D86" s="9">
        <f>AVERAGE(Sheet1!D86:G86)</f>
        <v>5566.9224999999997</v>
      </c>
      <c r="E86" s="9">
        <f>MEDIAN(Sheet1!D86:F86,Sheet1!G86)</f>
        <v>5608.3649999999998</v>
      </c>
      <c r="F86" s="10">
        <f>STDEV(Sheet1!D86:G86)</f>
        <v>910.44551937957146</v>
      </c>
      <c r="G86" s="9">
        <f>PRODUCT(Sheet1!D86,Sheet1!F86:G86)</f>
        <v>168926898807.40781</v>
      </c>
      <c r="H86" s="9" t="str">
        <f t="shared" si="1"/>
        <v>Approved</v>
      </c>
    </row>
    <row r="87" spans="1:8" x14ac:dyDescent="0.3">
      <c r="A87" s="8" t="str">
        <f>_xlfn.CONCAT(Sheet1!A87," ",Sheet1!B87)</f>
        <v>Katherine Williams</v>
      </c>
      <c r="B87" s="9" t="str">
        <f>_xlfn.CONCAT(Sheet1!A87, " (",Sheet1!H87,")")</f>
        <v>Katherine (Mobile App Developer)</v>
      </c>
      <c r="C87" s="9">
        <f>SUM(Sheet1!D87:G87)</f>
        <v>21501.82</v>
      </c>
      <c r="D87" s="9">
        <f>AVERAGE(Sheet1!D87:G87)</f>
        <v>5375.4549999999999</v>
      </c>
      <c r="E87" s="9">
        <f>MEDIAN(Sheet1!D87:F87,Sheet1!G87)</f>
        <v>5780.26</v>
      </c>
      <c r="F87" s="10">
        <f>STDEV(Sheet1!D87:G87)</f>
        <v>1172.0310639085767</v>
      </c>
      <c r="G87" s="9">
        <f>PRODUCT(Sheet1!D87,Sheet1!F87:G87)</f>
        <v>210043184049.16562</v>
      </c>
      <c r="H87" s="9" t="str">
        <f t="shared" si="1"/>
        <v>Approved</v>
      </c>
    </row>
    <row r="88" spans="1:8" x14ac:dyDescent="0.3">
      <c r="A88" s="8" t="str">
        <f>_xlfn.CONCAT(Sheet1!A88," ",Sheet1!B88)</f>
        <v>Shane Oconnor</v>
      </c>
      <c r="B88" s="9" t="str">
        <f>_xlfn.CONCAT(Sheet1!A88, " (",Sheet1!H88,")")</f>
        <v>Shane (Security Analyst)</v>
      </c>
      <c r="C88" s="9">
        <f>SUM(Sheet1!D88:G88)</f>
        <v>19744.52</v>
      </c>
      <c r="D88" s="9">
        <f>AVERAGE(Sheet1!D88:G88)</f>
        <v>4936.13</v>
      </c>
      <c r="E88" s="9">
        <f>MEDIAN(Sheet1!D88:F88,Sheet1!G88)</f>
        <v>5317.0249999999996</v>
      </c>
      <c r="F88" s="10">
        <f>STDEV(Sheet1!D88:G88)</f>
        <v>1129.455243351116</v>
      </c>
      <c r="G88" s="9">
        <f>PRODUCT(Sheet1!D88,Sheet1!F88:G88)</f>
        <v>92767991893.954193</v>
      </c>
      <c r="H88" s="9" t="str">
        <f t="shared" si="1"/>
        <v>Approved</v>
      </c>
    </row>
    <row r="89" spans="1:8" x14ac:dyDescent="0.3">
      <c r="A89" s="8" t="str">
        <f>_xlfn.CONCAT(Sheet1!A89," ",Sheet1!B89)</f>
        <v>Natalie White</v>
      </c>
      <c r="B89" s="9" t="str">
        <f>_xlfn.CONCAT(Sheet1!A89, " (",Sheet1!H89,")")</f>
        <v>Natalie (Backend Developer)</v>
      </c>
      <c r="C89" s="9">
        <f>SUM(Sheet1!D89:G89)</f>
        <v>22902.440000000002</v>
      </c>
      <c r="D89" s="9">
        <f>AVERAGE(Sheet1!D89:G89)</f>
        <v>5725.6100000000006</v>
      </c>
      <c r="E89" s="9">
        <f>MEDIAN(Sheet1!D89:F89,Sheet1!G89)</f>
        <v>5865.335</v>
      </c>
      <c r="F89" s="10">
        <f>STDEV(Sheet1!D89:G89)</f>
        <v>714.31725551979014</v>
      </c>
      <c r="G89" s="9">
        <f>PRODUCT(Sheet1!D89,Sheet1!F89:G89)</f>
        <v>163435881303.95099</v>
      </c>
      <c r="H89" s="9" t="str">
        <f t="shared" si="1"/>
        <v>Approved</v>
      </c>
    </row>
    <row r="90" spans="1:8" x14ac:dyDescent="0.3">
      <c r="A90" s="8" t="str">
        <f>_xlfn.CONCAT(Sheet1!A90," ",Sheet1!B90)</f>
        <v>Hannah Schmidt</v>
      </c>
      <c r="B90" s="9" t="str">
        <f>_xlfn.CONCAT(Sheet1!A90, " (",Sheet1!H90,")")</f>
        <v>Hannah (System Administrator)</v>
      </c>
      <c r="C90" s="9">
        <f>SUM(Sheet1!D90:G90)</f>
        <v>18634.68</v>
      </c>
      <c r="D90" s="9">
        <f>AVERAGE(Sheet1!D90:G90)</f>
        <v>4658.67</v>
      </c>
      <c r="E90" s="9">
        <f>MEDIAN(Sheet1!D90:F90,Sheet1!G90)</f>
        <v>4720.0999999999995</v>
      </c>
      <c r="F90" s="10">
        <f>STDEV(Sheet1!D90:G90)</f>
        <v>1699.9921361190648</v>
      </c>
      <c r="G90" s="9">
        <f>PRODUCT(Sheet1!D90,Sheet1!F90:G90)</f>
        <v>62897184451.772697</v>
      </c>
      <c r="H90" s="9" t="str">
        <f t="shared" si="1"/>
        <v>Approved</v>
      </c>
    </row>
    <row r="91" spans="1:8" x14ac:dyDescent="0.3">
      <c r="A91" s="8" t="str">
        <f>_xlfn.CONCAT(Sheet1!A91," ",Sheet1!B91)</f>
        <v>Alexandra Bates</v>
      </c>
      <c r="B91" s="9" t="str">
        <f>_xlfn.CONCAT(Sheet1!A91, " (",Sheet1!H91,")")</f>
        <v>Alexandra (DevOps Engineer)</v>
      </c>
      <c r="C91" s="9">
        <f>SUM(Sheet1!D91:G91)</f>
        <v>21365.14</v>
      </c>
      <c r="D91" s="9">
        <f>AVERAGE(Sheet1!D91:G91)</f>
        <v>5341.2849999999999</v>
      </c>
      <c r="E91" s="9">
        <f>MEDIAN(Sheet1!D91:F91,Sheet1!G91)</f>
        <v>5315.42</v>
      </c>
      <c r="F91" s="10">
        <f>STDEV(Sheet1!D91:G91)</f>
        <v>1248.1519362241143</v>
      </c>
      <c r="G91" s="9">
        <f>PRODUCT(Sheet1!D91,Sheet1!F91:G91)</f>
        <v>164025137713.203</v>
      </c>
      <c r="H91" s="9" t="str">
        <f t="shared" si="1"/>
        <v>Not Approved</v>
      </c>
    </row>
    <row r="92" spans="1:8" x14ac:dyDescent="0.3">
      <c r="A92" s="8" t="str">
        <f>_xlfn.CONCAT(Sheet1!A92," ",Sheet1!B92)</f>
        <v>Justin Pham</v>
      </c>
      <c r="B92" s="9" t="str">
        <f>_xlfn.CONCAT(Sheet1!A92, " (",Sheet1!H92,")")</f>
        <v>Justin (Business Analyst)</v>
      </c>
      <c r="C92" s="9">
        <f>SUM(Sheet1!D92:G92)</f>
        <v>19777.61</v>
      </c>
      <c r="D92" s="9">
        <f>AVERAGE(Sheet1!D92:G92)</f>
        <v>4944.4025000000001</v>
      </c>
      <c r="E92" s="9">
        <f>MEDIAN(Sheet1!D92:F92,Sheet1!G92)</f>
        <v>4975.5400000000009</v>
      </c>
      <c r="F92" s="10">
        <f>STDEV(Sheet1!D92:G92)</f>
        <v>881.11396158025946</v>
      </c>
      <c r="G92" s="9">
        <f>PRODUCT(Sheet1!D92,Sheet1!F92:G92)</f>
        <v>95118190907.376648</v>
      </c>
      <c r="H92" s="9" t="str">
        <f t="shared" si="1"/>
        <v>Approved</v>
      </c>
    </row>
    <row r="93" spans="1:8" x14ac:dyDescent="0.3">
      <c r="A93" s="8" t="str">
        <f>_xlfn.CONCAT(Sheet1!A93," ",Sheet1!B93)</f>
        <v>Paul Peterson</v>
      </c>
      <c r="B93" s="9" t="str">
        <f>_xlfn.CONCAT(Sheet1!A93, " (",Sheet1!H93,")")</f>
        <v>Paul (Product Manager)</v>
      </c>
      <c r="C93" s="9">
        <f>SUM(Sheet1!D93:G93)</f>
        <v>21287.41</v>
      </c>
      <c r="D93" s="9">
        <f>AVERAGE(Sheet1!D93:G93)</f>
        <v>5321.8525</v>
      </c>
      <c r="E93" s="9">
        <f>MEDIAN(Sheet1!D93:F93,Sheet1!G93)</f>
        <v>5488.3549999999996</v>
      </c>
      <c r="F93" s="10">
        <f>STDEV(Sheet1!D93:G93)</f>
        <v>726.11160516709708</v>
      </c>
      <c r="G93" s="9">
        <f>PRODUCT(Sheet1!D93,Sheet1!F93:G93)</f>
        <v>130646291244.30035</v>
      </c>
      <c r="H93" s="9" t="str">
        <f t="shared" si="1"/>
        <v>Approved</v>
      </c>
    </row>
    <row r="94" spans="1:8" x14ac:dyDescent="0.3">
      <c r="A94" s="8" t="str">
        <f>_xlfn.CONCAT(Sheet1!A94," ",Sheet1!B94)</f>
        <v>Joel King</v>
      </c>
      <c r="B94" s="9" t="str">
        <f>_xlfn.CONCAT(Sheet1!A94, " (",Sheet1!H94,")")</f>
        <v>Joel (Data Scientist)</v>
      </c>
      <c r="C94" s="9">
        <f>SUM(Sheet1!D94:G94)</f>
        <v>16943.949999999997</v>
      </c>
      <c r="D94" s="9">
        <f>AVERAGE(Sheet1!D94:G94)</f>
        <v>4235.9874999999993</v>
      </c>
      <c r="E94" s="9">
        <f>MEDIAN(Sheet1!D94:F94,Sheet1!G94)</f>
        <v>4050.6149999999998</v>
      </c>
      <c r="F94" s="10">
        <f>STDEV(Sheet1!D94:G94)</f>
        <v>951.94967967062269</v>
      </c>
      <c r="G94" s="9">
        <f>PRODUCT(Sheet1!D94,Sheet1!F94:G94)</f>
        <v>53912058466.226677</v>
      </c>
      <c r="H94" s="9" t="str">
        <f t="shared" si="1"/>
        <v>Not Approved</v>
      </c>
    </row>
    <row r="95" spans="1:8" x14ac:dyDescent="0.3">
      <c r="A95" s="8" t="str">
        <f>_xlfn.CONCAT(Sheet1!A95," ",Sheet1!B95)</f>
        <v>Elaine Shaw</v>
      </c>
      <c r="B95" s="9" t="str">
        <f>_xlfn.CONCAT(Sheet1!A95, " (",Sheet1!H95,")")</f>
        <v>Elaine (QA Engineer)</v>
      </c>
      <c r="C95" s="9">
        <f>SUM(Sheet1!D95:G95)</f>
        <v>23022.57</v>
      </c>
      <c r="D95" s="9">
        <f>AVERAGE(Sheet1!D95:G95)</f>
        <v>5755.6424999999999</v>
      </c>
      <c r="E95" s="9">
        <f>MEDIAN(Sheet1!D95:F95,Sheet1!G95)</f>
        <v>5897.5249999999996</v>
      </c>
      <c r="F95" s="10">
        <f>STDEV(Sheet1!D95:G95)</f>
        <v>948.32521785777556</v>
      </c>
      <c r="G95" s="9">
        <f>PRODUCT(Sheet1!D95,Sheet1!F95:G95)</f>
        <v>227770836653.85419</v>
      </c>
      <c r="H95" s="9" t="str">
        <f t="shared" si="1"/>
        <v>Approved</v>
      </c>
    </row>
    <row r="96" spans="1:8" x14ac:dyDescent="0.3">
      <c r="A96" s="8" t="str">
        <f>_xlfn.CONCAT(Sheet1!A96," ",Sheet1!B96)</f>
        <v>Tanya Nielsen</v>
      </c>
      <c r="B96" s="9" t="str">
        <f>_xlfn.CONCAT(Sheet1!A96, " (",Sheet1!H96,")")</f>
        <v>Tanya (System Administrator)</v>
      </c>
      <c r="C96" s="9">
        <f>SUM(Sheet1!D96:G96)</f>
        <v>19242.05</v>
      </c>
      <c r="D96" s="9">
        <f>AVERAGE(Sheet1!D96:G96)</f>
        <v>4810.5124999999998</v>
      </c>
      <c r="E96" s="9">
        <f>MEDIAN(Sheet1!D96:F96,Sheet1!G96)</f>
        <v>4876.165</v>
      </c>
      <c r="F96" s="10">
        <f>STDEV(Sheet1!D96:G96)</f>
        <v>1119.8616539964523</v>
      </c>
      <c r="G96" s="9">
        <f>PRODUCT(Sheet1!D96,Sheet1!F96:G96)</f>
        <v>80290192745.185165</v>
      </c>
      <c r="H96" s="9" t="str">
        <f t="shared" si="1"/>
        <v>Approved</v>
      </c>
    </row>
    <row r="97" spans="1:8" x14ac:dyDescent="0.3">
      <c r="A97" s="8" t="str">
        <f>_xlfn.CONCAT(Sheet1!A97," ",Sheet1!B97)</f>
        <v>Alejandra Mueller</v>
      </c>
      <c r="B97" s="9" t="str">
        <f>_xlfn.CONCAT(Sheet1!A97, " (",Sheet1!H97,")")</f>
        <v>Alejandra (UI/UX Designer)</v>
      </c>
      <c r="C97" s="9">
        <f>SUM(Sheet1!D97:G97)</f>
        <v>19409.71</v>
      </c>
      <c r="D97" s="9">
        <f>AVERAGE(Sheet1!D97:G97)</f>
        <v>4852.4274999999998</v>
      </c>
      <c r="E97" s="9">
        <f>MEDIAN(Sheet1!D97:F97,Sheet1!G97)</f>
        <v>4991.25</v>
      </c>
      <c r="F97" s="10">
        <f>STDEV(Sheet1!D97:G97)</f>
        <v>1222.984391352428</v>
      </c>
      <c r="G97" s="9">
        <f>PRODUCT(Sheet1!D97,Sheet1!F97:G97)</f>
        <v>102463335803.36929</v>
      </c>
      <c r="H97" s="9" t="str">
        <f t="shared" si="1"/>
        <v>Approved</v>
      </c>
    </row>
    <row r="98" spans="1:8" x14ac:dyDescent="0.3">
      <c r="A98" s="8" t="str">
        <f>_xlfn.CONCAT(Sheet1!A98," ",Sheet1!B98)</f>
        <v>Eddie Perez</v>
      </c>
      <c r="B98" s="9" t="str">
        <f>_xlfn.CONCAT(Sheet1!A98, " (",Sheet1!H98,")")</f>
        <v>Eddie (Technical Support)</v>
      </c>
      <c r="C98" s="9">
        <f>SUM(Sheet1!D98:G98)</f>
        <v>18746.150000000001</v>
      </c>
      <c r="D98" s="9">
        <f>AVERAGE(Sheet1!D98:G98)</f>
        <v>4686.5375000000004</v>
      </c>
      <c r="E98" s="9">
        <f>MEDIAN(Sheet1!D98:F98,Sheet1!G98)</f>
        <v>4762.4400000000005</v>
      </c>
      <c r="F98" s="10">
        <f>STDEV(Sheet1!D98:G98)</f>
        <v>1188.5130753277374</v>
      </c>
      <c r="G98" s="9">
        <f>PRODUCT(Sheet1!D98,Sheet1!F98:G98)</f>
        <v>102903114044.19565</v>
      </c>
      <c r="H98" s="9" t="str">
        <f t="shared" si="1"/>
        <v>Approved</v>
      </c>
    </row>
    <row r="99" spans="1:8" x14ac:dyDescent="0.3">
      <c r="A99" s="8" t="str">
        <f>_xlfn.CONCAT(Sheet1!A99," ",Sheet1!B99)</f>
        <v>Jessica Nunez</v>
      </c>
      <c r="B99" s="9" t="str">
        <f>_xlfn.CONCAT(Sheet1!A99, " (",Sheet1!H99,")")</f>
        <v>Jessica (UI/UX Designer)</v>
      </c>
      <c r="C99" s="9">
        <f>SUM(Sheet1!D99:G99)</f>
        <v>17845.009999999998</v>
      </c>
      <c r="D99" s="9">
        <f>AVERAGE(Sheet1!D99:G99)</f>
        <v>4461.2524999999996</v>
      </c>
      <c r="E99" s="9">
        <f>MEDIAN(Sheet1!D99:F99,Sheet1!G99)</f>
        <v>3923.0349999999999</v>
      </c>
      <c r="F99" s="10">
        <f>STDEV(Sheet1!D99:G99)</f>
        <v>1631.3872216281663</v>
      </c>
      <c r="G99" s="9">
        <f>PRODUCT(Sheet1!D99,Sheet1!F99:G99)</f>
        <v>78064189310.20372</v>
      </c>
      <c r="H99" s="9" t="str">
        <f t="shared" si="1"/>
        <v>Not Approved</v>
      </c>
    </row>
    <row r="100" spans="1:8" x14ac:dyDescent="0.3">
      <c r="A100" s="8" t="str">
        <f>_xlfn.CONCAT(Sheet1!A100," ",Sheet1!B100)</f>
        <v>Carrie Wright</v>
      </c>
      <c r="B100" s="9" t="str">
        <f>_xlfn.CONCAT(Sheet1!A100, " (",Sheet1!H100,")")</f>
        <v>Carrie (Full Stack Developer)</v>
      </c>
      <c r="C100" s="9">
        <f>SUM(Sheet1!D100:G100)</f>
        <v>19593.02</v>
      </c>
      <c r="D100" s="9">
        <f>AVERAGE(Sheet1!D100:G100)</f>
        <v>4898.2550000000001</v>
      </c>
      <c r="E100" s="9">
        <f>MEDIAN(Sheet1!D100:F100,Sheet1!G100)</f>
        <v>4556.71</v>
      </c>
      <c r="F100" s="10">
        <f>STDEV(Sheet1!D100:G100)</f>
        <v>1497.5227319476637</v>
      </c>
      <c r="G100" s="9">
        <f>PRODUCT(Sheet1!D100,Sheet1!F100:G100)</f>
        <v>121263863034.35628</v>
      </c>
      <c r="H100" s="9" t="str">
        <f t="shared" si="1"/>
        <v>Not Approved</v>
      </c>
    </row>
    <row r="101" spans="1:8" x14ac:dyDescent="0.3">
      <c r="A101" s="8" t="str">
        <f>_xlfn.CONCAT(Sheet1!A101," ",Sheet1!B101)</f>
        <v>Daniel Haynes</v>
      </c>
      <c r="B101" s="9" t="str">
        <f>_xlfn.CONCAT(Sheet1!A101, " (",Sheet1!H101,")")</f>
        <v>Daniel (Backend Developer)</v>
      </c>
      <c r="C101" s="9">
        <f>SUM(Sheet1!D101:G101)</f>
        <v>21449.11</v>
      </c>
      <c r="D101" s="9">
        <f>AVERAGE(Sheet1!D101:G101)</f>
        <v>5362.2775000000001</v>
      </c>
      <c r="E101" s="9">
        <f>MEDIAN(Sheet1!D101:F101,Sheet1!G101)</f>
        <v>5326.5550000000003</v>
      </c>
      <c r="F101" s="10">
        <f>STDEV(Sheet1!D101:G101)</f>
        <v>1143.3617554496905</v>
      </c>
      <c r="G101" s="9">
        <f>PRODUCT(Sheet1!D101,Sheet1!F101:G101)</f>
        <v>146893185171.40561</v>
      </c>
      <c r="H101" s="9" t="str">
        <f t="shared" si="1"/>
        <v>Not Approved</v>
      </c>
    </row>
  </sheetData>
  <conditionalFormatting sqref="D2:D10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{44831B24-8F21-4600-A16D-99B90A9E404E}</x14:id>
        </ext>
      </extLst>
    </cfRule>
  </conditionalFormatting>
  <conditionalFormatting sqref="F2:F10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0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{B228BA3C-846D-4582-BFD8-5C0712141BC8}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4566309B-7F17-42CF-A167-48D4155CA23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J5</xm:sqref>
        </x14:conditionalFormatting>
        <x14:conditionalFormatting xmlns:xm="http://schemas.microsoft.com/office/excel/2006/main">
          <x14:cfRule type="dataBar" id="{44831B24-8F21-4600-A16D-99B90A9E40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D2:D101</xm:sqref>
        </x14:conditionalFormatting>
        <x14:conditionalFormatting xmlns:xm="http://schemas.microsoft.com/office/excel/2006/main">
          <x14:cfRule type="dataBar" id="{B228BA3C-846D-4582-BFD8-5C0712141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Funtions-sheet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Jawad</cp:lastModifiedBy>
  <dcterms:created xsi:type="dcterms:W3CDTF">2025-06-19T12:09:01Z</dcterms:created>
  <dcterms:modified xsi:type="dcterms:W3CDTF">2025-06-20T21:26:58Z</dcterms:modified>
</cp:coreProperties>
</file>